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IKASH KUMAR YADAV\Desktop\"/>
    </mc:Choice>
  </mc:AlternateContent>
  <xr:revisionPtr revIDLastSave="0" documentId="13_ncr:10000001_{DC0ECC35-ED59-47F1-A52E-A24580782933}" xr6:coauthVersionLast="47" xr6:coauthVersionMax="47" xr10:uidLastSave="{00000000-0000-0000-0000-000000000000}"/>
  <bookViews>
    <workbookView xWindow="-108" yWindow="-108" windowWidth="23256" windowHeight="12456" activeTab="1" xr2:uid="{47572345-A4C8-4210-AF2E-E3BB4E3ECBC6}"/>
  </bookViews>
  <sheets>
    <sheet name="Pivot Report" sheetId="1" r:id="rId1"/>
    <sheet name="Dashboard" sheetId="2" r:id="rId2"/>
    <sheet name="Daily ER NO Patient" sheetId="3" r:id="rId3"/>
    <sheet name="Average Wait Time Daily Trend" sheetId="6" r:id="rId4"/>
    <sheet name="Satisfaction score Daily Trend" sheetId="7" r:id="rId5"/>
  </sheets>
  <definedNames>
    <definedName name="Slicer_Date__Month">#N/A</definedName>
    <definedName name="Slicer_Date__Year">#N/A</definedName>
  </definedNames>
  <calcPr calcId="191029"/>
  <pivotCaches>
    <pivotCache cacheId="1786" r:id="rId6"/>
    <pivotCache cacheId="1789" r:id="rId7"/>
    <pivotCache cacheId="1792" r:id="rId8"/>
    <pivotCache cacheId="1795" r:id="rId9"/>
    <pivotCache cacheId="1798" r:id="rId10"/>
    <pivotCache cacheId="1801" r:id="rId11"/>
    <pivotCache cacheId="1804" r:id="rId12"/>
    <pivotCache cacheId="1807" r:id="rId13"/>
    <pivotCache cacheId="1810" r:id="rId14"/>
    <pivotCache cacheId="1813" r:id="rId15"/>
    <pivotCache cacheId="1816" r:id="rId16"/>
    <pivotCache cacheId="1819" r:id="rId17"/>
  </pivotCaches>
  <fileRecoveryPr repairLoad="1"/>
  <extLst>
    <ext xmlns:x14="http://schemas.microsoft.com/office/spreadsheetml/2009/9/main" uri="{876F7934-8845-4945-9796-88D515C7AA90}">
      <x14:pivotCaches>
        <pivotCache cacheId="54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7e3ef96-aaa3-4ec8-88cd-e8265780517c" name="Hospital Emergency Room Data" connection="Query - Hospital Emergency Room Data"/>
          <x15:modelTable id="Calendar_Table_02f332c1-8363-4165-a01b-6c2547a66cb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50" i="1" l="1"/>
  <c r="C50" i="1"/>
  <c r="C51" i="1"/>
  <c r="B51" i="1"/>
  <c r="A51" i="1"/>
  <c r="B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E15E9A-EA14-4B2E-8881-382932DFAD09}" name="Query - Calendar_Table" description="Connection to the 'Calendar_Table' query in the workbook." type="100" refreshedVersion="8" minRefreshableVersion="5">
    <extLst>
      <ext xmlns:x15="http://schemas.microsoft.com/office/spreadsheetml/2010/11/main" uri="{DE250136-89BD-433C-8126-D09CA5730AF9}">
        <x15:connection id="569fe5ac-05cb-4966-a9f8-8cbb2fdd2445"/>
      </ext>
    </extLst>
  </connection>
  <connection id="2" xr16:uid="{19C5223C-FEE7-4AF6-875F-DD79635A77A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71f48cf-5552-4b64-85f9-e528c0285919"/>
      </ext>
    </extLst>
  </connection>
  <connection id="3" xr16:uid="{44EC870A-D578-45BD-AD29-23B90F518A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<sst xmlns="http://schemas.openxmlformats.org/spreadsheetml/2006/main" count="158" uniqueCount="77">
  <si>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</si>
  <si>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No. of patient</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</si>
  <si>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</si>
  <si>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</si>
  <si>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</si>
  <si>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</si>
  <si>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</si>
  <si>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</si>
  <si>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</si>
  <si>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</si>
  <si>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</si>
  <si>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</si>
  <si>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</si>
  <si>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</si>
  <si>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</si>
  <si>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</si>
  <si>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</si>
  <si>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</si>
  <si>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</si>
  <si>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</si>
  <si>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</si>
  <si>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</si>
  <si>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</si>
  <si>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</si>
  <si>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</si>
  <si>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</si>
  <si>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</si>
  <si>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</si>
  <si>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</si>
  <si>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</si>
  <si>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</si>
  <si>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</si>
  <si>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</si>
  <si>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</si>
  <si>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</si>
  <si>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</si>
  <si>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</si>
  <si>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•Show a daily trend with an area sparkline to spot patterns like busy days or seasonal trends.</t>
  </si>
  <si>
    <t>Average waittime</t>
  </si>
  <si>
    <t>daily trends of no of patient</t>
  </si>
  <si>
    <t>•Use an area Chart to track daily changes and highlight days with longer wait times that might need improvements.</t>
  </si>
  <si>
    <t>•Use an area chart to show trends, spot drops in satisfaction, and link them to busy times or challenges.</t>
  </si>
  <si>
    <t>Satisfaction score Daily Trend</t>
  </si>
  <si>
    <t>Count of Patient Admission Flag</t>
  </si>
  <si>
    <t>Admitted</t>
  </si>
  <si>
    <t>Not Admitted</t>
  </si>
  <si>
    <t>Count of Patient Admission Flag2</t>
  </si>
  <si>
    <t>Admission Status</t>
  </si>
  <si>
    <t>% Status</t>
  </si>
  <si>
    <t>No. OfPatient</t>
  </si>
  <si>
    <t>0-4</t>
  </si>
  <si>
    <t>05-14</t>
  </si>
  <si>
    <t>15-29</t>
  </si>
  <si>
    <t>30-44</t>
  </si>
  <si>
    <t>45-59</t>
  </si>
  <si>
    <t>60-69</t>
  </si>
  <si>
    <t>70-79</t>
  </si>
  <si>
    <t>Count of Age Group</t>
  </si>
  <si>
    <t>Age Group Wise Analysis</t>
  </si>
  <si>
    <t>Ontime</t>
  </si>
  <si>
    <t>Delay</t>
  </si>
  <si>
    <t>Count of Patient Attend Status</t>
  </si>
  <si>
    <t>Attend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</si>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</sst>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4"/>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applyAlignment="1">
      <alignment horizontal="left" vertical="center" indent="3"/>
    </xf>
    <xf numFmtId="1" fontId="0" fillId="0" borderId="0" xfId="0" applyNumberFormat="1"/>
    <xf numFmtId="10" fontId="0" fillId="0" borderId="0" xfId="0" applyNumberFormat="1"/>
    <xf numFmtId="0" fontId="0" fillId="4" borderId="0" xfId="0" applyFill="1" applyAlignment="1">
      <alignment horizontal="left"/>
    </xf>
    <xf numFmtId="0" fontId="0" fillId="4" borderId="0" xfId="0" applyFill="1" applyAlignment="1">
      <alignment horizontal="center"/>
    </xf>
    <xf numFmtId="0" fontId="0" fillId="3" borderId="0" xfId="0" applyFill="1" applyAlignment="1">
      <alignment horizontal="center"/>
    </xf>
    <xf numFmtId="9" fontId="0" fillId="3" borderId="0" xfId="1" applyFont="1" applyFill="1" applyAlignment="1">
      <alignment horizontal="center"/>
    </xf>
    <xf numFmtId="0" fontId="0" fillId="0" borderId="0" xfId="0" applyNumberFormat="1"/>
    <xf numFmtId="0" fontId="3" fillId="3" borderId="0" xfId="0" applyFont="1" applyFill="1" applyAlignment="1">
      <alignment horizontal="left" vertical="center" indent="3"/>
    </xf>
  </cellXfs>
  <cellStyles count="2">
    <cellStyle name="Normal" xfId="0" builtinId="0"/>
    <cellStyle name="Percent" xfId="1" builtinId="5"/>
  </cellStyles>
  <dxfs count="648">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font>
        <b/>
        <color theme="1"/>
      </font>
      <border>
        <bottom style="thin">
          <color theme="5"/>
        </bottom>
        <vertical/>
        <horizontal/>
      </border>
    </dxf>
    <dxf>
      <font>
        <sz val="6"/>
        <color theme="0" tint="-4.9989318521683403E-2"/>
      </font>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_Style" pivot="0" table="0" count="10" xr9:uid="{4B079CC0-8AD3-4DBB-9EE4-B1DCD95157C1}">
      <tableStyleElement type="wholeTable" dxfId="628"/>
      <tableStyleElement type="headerRow" dxfId="62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070E5FAD-CCD1-4C06-83B0-109146845F7F}"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21B4426E-BB46-4715-8247-225D392C991B}"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070E5FAD-CCD1-4C06-83B0-109146845F7F}" type="CELLRANGE">
                  <a:rPr lang="en-US" sz="700"/>
                  <a:pPr>
                    <a:defRPr sz="12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5"/>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21B4426E-BB46-4715-8247-225D392C991B}" type="CELLRANGE">
                  <a:rPr lang="en-US" sz="700"/>
                  <a:pPr>
                    <a:defRPr sz="12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s>
    <c:plotArea>
      <c:layout>
        <c:manualLayout>
          <c:layoutTarget val="inner"/>
          <c:xMode val="edge"/>
          <c:yMode val="edge"/>
          <c:x val="1.1600303967557854E-2"/>
          <c:y val="0"/>
          <c:w val="0.70002480063366579"/>
          <c:h val="1"/>
        </c:manualLayout>
      </c:layout>
      <c:barChart>
        <c:barDir val="bar"/>
        <c:grouping val="clustered"/>
        <c:varyColors val="0"/>
        <c:ser>
          <c:idx val="0"/>
          <c:order val="0"/>
          <c:tx>
            <c:strRef>
              <c:f>'Pivot Report'!$C$44:$C$45</c:f>
              <c:strCache>
                <c:ptCount val="1"/>
                <c:pt idx="0">
                  <c:v>Count of Patient Admission Flag</c:v>
                </c:pt>
              </c:strCache>
            </c:strRef>
          </c:tx>
          <c:spPr>
            <a:solidFill>
              <a:schemeClr val="accent1"/>
            </a:solidFill>
            <a:ln>
              <a:noFill/>
            </a:ln>
            <a:effectLst/>
          </c:spPr>
          <c:invertIfNegative val="0"/>
          <c:dLbls>
            <c:dLbl>
              <c:idx val="0"/>
              <c:tx>
                <c:rich>
                  <a:bodyPr/>
                  <a:lstStyle/>
                  <a:p>
                    <a:fld id="{070E5FAD-CCD1-4C06-83B0-109146845F7F}" type="CELLRANGE">
                      <a:rPr lang="en-US" sz="7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
              <c:tx>
                <c:rich>
                  <a:bodyPr/>
                  <a:lstStyle/>
                  <a:p>
                    <a:fld id="{21B4426E-BB46-4715-8247-225D392C991B}" type="CELLRANGE">
                      <a:rPr lang="en-US" sz="7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Report'!$C$44:$C$45</c:f>
              <c:strCache>
                <c:ptCount val="2"/>
                <c:pt idx="0">
                  <c:v>Admitted</c:v>
                </c:pt>
                <c:pt idx="1">
                  <c:v>Not Admitted</c:v>
                </c:pt>
              </c:strCache>
            </c:strRef>
          </c:cat>
          <c:val>
            <c:numRef>
              <c:f>'Pivot Report'!$C$44:$C$45</c:f>
              <c:numCache>
                <c:formatCode>0</c:formatCode>
                <c:ptCount val="2"/>
                <c:pt idx="0">
                  <c:v>269</c:v>
                </c:pt>
                <c:pt idx="1">
                  <c:v>244</c:v>
                </c:pt>
              </c:numCache>
            </c:numRef>
          </c:val>
          <c:extLst>
            <c:ext xmlns:c16="http://schemas.microsoft.com/office/drawing/2014/chart" uri="{C3380CC4-5D6E-409C-BE32-E72D297353CC}">
              <c16:uniqueId val="{00000009-4BE3-4A7C-964B-5EAF26E37674}"/>
            </c:ext>
          </c:extLst>
        </c:ser>
        <c:ser>
          <c:idx val="1"/>
          <c:order val="1"/>
          <c:tx>
            <c:strRef>
              <c:f>'Pivot Report'!$C$44:$C$45</c:f>
              <c:strCache>
                <c:ptCount val="1"/>
                <c:pt idx="0">
                  <c:v>Count of Patient Admission Flag2</c:v>
                </c:pt>
              </c:strCache>
            </c:strRef>
          </c:tx>
          <c:spPr>
            <a:solidFill>
              <a:schemeClr val="accent2"/>
            </a:solidFill>
            <a:ln>
              <a:noFill/>
            </a:ln>
            <a:effectLst/>
          </c:spPr>
          <c:invertIfNegative val="0"/>
          <c:cat>
            <c:strRef>
              <c:f>'Pivot Report'!$C$44:$C$45</c:f>
              <c:strCache>
                <c:ptCount val="2"/>
                <c:pt idx="0">
                  <c:v>Admitted</c:v>
                </c:pt>
                <c:pt idx="1">
                  <c:v>Not Admitted</c:v>
                </c:pt>
              </c:strCache>
            </c:strRef>
          </c:cat>
          <c:val>
            <c:numRef>
              <c:f>'Pivot Report'!$C$44:$C$45</c:f>
              <c:numCache>
                <c:formatCode>0.00%</c:formatCode>
                <c:ptCount val="2"/>
                <c:pt idx="0">
                  <c:v>0.52436647173489281</c:v>
                </c:pt>
                <c:pt idx="1">
                  <c:v>0.47563352826510719</c:v>
                </c:pt>
              </c:numCache>
            </c:numRef>
          </c:val>
          <c:extLst>
            <c:ext xmlns:c16="http://schemas.microsoft.com/office/drawing/2014/chart" uri="{C3380CC4-5D6E-409C-BE32-E72D297353CC}">
              <c16:uniqueId val="{0000000A-4BE3-4A7C-964B-5EAF26E37674}"/>
            </c:ext>
          </c:extLst>
        </c:ser>
        <c:dLbls>
          <c:showLegendKey val="0"/>
          <c:showVal val="0"/>
          <c:showCatName val="0"/>
          <c:showSerName val="0"/>
          <c:showPercent val="0"/>
          <c:showBubbleSize val="0"/>
        </c:dLbls>
        <c:gapWidth val="0"/>
        <c:overlap val="-48"/>
        <c:axId val="1916677664"/>
        <c:axId val="1916678144"/>
      </c:barChart>
      <c:catAx>
        <c:axId val="1916677664"/>
        <c:scaling>
          <c:orientation val="minMax"/>
        </c:scaling>
        <c:delete val="1"/>
        <c:axPos val="l"/>
        <c:numFmt formatCode="General" sourceLinked="1"/>
        <c:majorTickMark val="none"/>
        <c:minorTickMark val="none"/>
        <c:tickLblPos val="nextTo"/>
        <c:crossAx val="1916678144"/>
        <c:crosses val="autoZero"/>
        <c:auto val="1"/>
        <c:lblAlgn val="ctr"/>
        <c:lblOffset val="100"/>
        <c:noMultiLvlLbl val="0"/>
      </c:catAx>
      <c:valAx>
        <c:axId val="1916678144"/>
        <c:scaling>
          <c:orientation val="minMax"/>
        </c:scaling>
        <c:delete val="1"/>
        <c:axPos val="b"/>
        <c:numFmt formatCode="0" sourceLinked="1"/>
        <c:majorTickMark val="none"/>
        <c:minorTickMark val="none"/>
        <c:tickLblPos val="nextTo"/>
        <c:crossAx val="191667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42825332454255E-2"/>
          <c:y val="1.8938942378491336E-2"/>
          <c:w val="0.95975717466754573"/>
          <c:h val="0.79502591576288162"/>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5-33B9-4A83-A2D7-003BBE4FF313}"/>
            </c:ext>
          </c:extLst>
        </c:ser>
        <c:dLbls>
          <c:showLegendKey val="0"/>
          <c:showVal val="0"/>
          <c:showCatName val="0"/>
          <c:showSerName val="0"/>
          <c:showPercent val="0"/>
          <c:showBubbleSize val="0"/>
        </c:dLbls>
        <c:axId val="2009437408"/>
        <c:axId val="2009438368"/>
      </c:areaChart>
      <c:catAx>
        <c:axId val="2009437408"/>
        <c:scaling>
          <c:orientation val="minMax"/>
        </c:scaling>
        <c:delete val="1"/>
        <c:axPos val="b"/>
        <c:numFmt formatCode="General" sourceLinked="1"/>
        <c:majorTickMark val="out"/>
        <c:minorTickMark val="none"/>
        <c:tickLblPos val="nextTo"/>
        <c:crossAx val="2009438368"/>
        <c:crosses val="autoZero"/>
        <c:auto val="1"/>
        <c:lblAlgn val="ctr"/>
        <c:lblOffset val="100"/>
        <c:noMultiLvlLbl val="0"/>
      </c:catAx>
      <c:valAx>
        <c:axId val="2009438368"/>
        <c:scaling>
          <c:orientation val="minMax"/>
        </c:scaling>
        <c:delete val="1"/>
        <c:axPos val="l"/>
        <c:numFmt formatCode="General" sourceLinked="1"/>
        <c:majorTickMark val="none"/>
        <c:minorTickMark val="none"/>
        <c:tickLblPos val="nextTo"/>
        <c:crossAx val="2009437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0929002418862E-2"/>
          <c:y val="7.0281166169302897E-2"/>
          <c:w val="0.95949070997581143"/>
          <c:h val="0.91214854228837139"/>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334D-4899-969E-ED3BCEE67F40}"/>
            </c:ext>
          </c:extLst>
        </c:ser>
        <c:dLbls>
          <c:showLegendKey val="0"/>
          <c:showVal val="0"/>
          <c:showCatName val="0"/>
          <c:showSerName val="0"/>
          <c:showPercent val="0"/>
          <c:showBubbleSize val="0"/>
        </c:dLbls>
        <c:axId val="2009440768"/>
        <c:axId val="2009446528"/>
      </c:areaChart>
      <c:catAx>
        <c:axId val="2009440768"/>
        <c:scaling>
          <c:orientation val="minMax"/>
        </c:scaling>
        <c:delete val="1"/>
        <c:axPos val="b"/>
        <c:numFmt formatCode="General" sourceLinked="1"/>
        <c:majorTickMark val="out"/>
        <c:minorTickMark val="none"/>
        <c:tickLblPos val="nextTo"/>
        <c:crossAx val="2009446528"/>
        <c:crosses val="autoZero"/>
        <c:auto val="1"/>
        <c:lblAlgn val="ctr"/>
        <c:lblOffset val="100"/>
        <c:noMultiLvlLbl val="0"/>
      </c:catAx>
      <c:valAx>
        <c:axId val="2009446528"/>
        <c:scaling>
          <c:orientation val="minMax"/>
        </c:scaling>
        <c:delete val="1"/>
        <c:axPos val="l"/>
        <c:numFmt formatCode="0.00" sourceLinked="1"/>
        <c:majorTickMark val="none"/>
        <c:minorTickMark val="none"/>
        <c:tickLblPos val="nextTo"/>
        <c:crossAx val="2009440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93163823010687E-2"/>
          <c:y val="4.1413114214946638E-2"/>
          <c:w val="0.92521367235397867"/>
          <c:h val="0.9585872825752838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55B5-4BCD-BCD6-AC0138B33756}"/>
            </c:ext>
          </c:extLst>
        </c:ser>
        <c:dLbls>
          <c:showLegendKey val="0"/>
          <c:showVal val="0"/>
          <c:showCatName val="0"/>
          <c:showSerName val="0"/>
          <c:showPercent val="0"/>
          <c:showBubbleSize val="0"/>
        </c:dLbls>
        <c:axId val="2009459008"/>
        <c:axId val="2009460448"/>
      </c:areaChart>
      <c:catAx>
        <c:axId val="2009459008"/>
        <c:scaling>
          <c:orientation val="minMax"/>
        </c:scaling>
        <c:delete val="1"/>
        <c:axPos val="b"/>
        <c:numFmt formatCode="General" sourceLinked="1"/>
        <c:majorTickMark val="out"/>
        <c:minorTickMark val="none"/>
        <c:tickLblPos val="nextTo"/>
        <c:crossAx val="2009460448"/>
        <c:crosses val="autoZero"/>
        <c:auto val="1"/>
        <c:lblAlgn val="ctr"/>
        <c:lblOffset val="100"/>
        <c:noMultiLvlLbl val="0"/>
      </c:catAx>
      <c:valAx>
        <c:axId val="2009460448"/>
        <c:scaling>
          <c:orientation val="minMax"/>
        </c:scaling>
        <c:delete val="1"/>
        <c:axPos val="l"/>
        <c:numFmt formatCode="0.00" sourceLinked="1"/>
        <c:majorTickMark val="none"/>
        <c:minorTickMark val="none"/>
        <c:tickLblPos val="nextTo"/>
        <c:crossAx val="2009459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248334478327925E-2"/>
          <c:y val="0"/>
          <c:w val="0.98411988192366995"/>
          <c:h val="0.66689930804104036"/>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Report'!$A$57:$A$64</c:f>
              <c:strCache>
                <c:ptCount val="7"/>
                <c:pt idx="0">
                  <c:v>0-4</c:v>
                </c:pt>
                <c:pt idx="1">
                  <c:v>05-14</c:v>
                </c:pt>
                <c:pt idx="2">
                  <c:v>15-29</c:v>
                </c:pt>
                <c:pt idx="3">
                  <c:v>30-44</c:v>
                </c:pt>
                <c:pt idx="4">
                  <c:v>45-59</c:v>
                </c:pt>
                <c:pt idx="5">
                  <c:v>60-69</c:v>
                </c:pt>
                <c:pt idx="6">
                  <c:v>70-79</c:v>
                </c:pt>
              </c:strCache>
            </c:strRef>
          </c:cat>
          <c:val>
            <c:numRef>
              <c:f>'Pivot Report'!$B$57:$B$64</c:f>
              <c:numCache>
                <c:formatCode>0</c:formatCode>
                <c:ptCount val="7"/>
                <c:pt idx="0">
                  <c:v>22</c:v>
                </c:pt>
                <c:pt idx="1">
                  <c:v>83</c:v>
                </c:pt>
                <c:pt idx="2">
                  <c:v>93</c:v>
                </c:pt>
                <c:pt idx="3">
                  <c:v>94</c:v>
                </c:pt>
                <c:pt idx="4">
                  <c:v>96</c:v>
                </c:pt>
                <c:pt idx="5">
                  <c:v>68</c:v>
                </c:pt>
                <c:pt idx="6">
                  <c:v>57</c:v>
                </c:pt>
              </c:numCache>
            </c:numRef>
          </c:val>
          <c:extLst>
            <c:ext xmlns:c16="http://schemas.microsoft.com/office/drawing/2014/chart" uri="{C3380CC4-5D6E-409C-BE32-E72D297353CC}">
              <c16:uniqueId val="{00000006-4D38-4D36-A051-BA1A13EBF2A0}"/>
            </c:ext>
          </c:extLst>
        </c:ser>
        <c:dLbls>
          <c:showLegendKey val="0"/>
          <c:showVal val="0"/>
          <c:showCatName val="0"/>
          <c:showSerName val="0"/>
          <c:showPercent val="0"/>
          <c:showBubbleSize val="0"/>
        </c:dLbls>
        <c:gapWidth val="219"/>
        <c:overlap val="-27"/>
        <c:axId val="1581912671"/>
        <c:axId val="1581915551"/>
      </c:barChart>
      <c:catAx>
        <c:axId val="158191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81915551"/>
        <c:crosses val="autoZero"/>
        <c:auto val="1"/>
        <c:lblAlgn val="ctr"/>
        <c:lblOffset val="100"/>
        <c:noMultiLvlLbl val="0"/>
      </c:catAx>
      <c:valAx>
        <c:axId val="1581915551"/>
        <c:scaling>
          <c:orientation val="minMax"/>
        </c:scaling>
        <c:delete val="1"/>
        <c:axPos val="l"/>
        <c:numFmt formatCode="0" sourceLinked="1"/>
        <c:majorTickMark val="none"/>
        <c:minorTickMark val="none"/>
        <c:tickLblPos val="nextTo"/>
        <c:crossAx val="158191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0792749695477304"/>
          <c:y val="0.21036848989281112"/>
          <c:w val="0.76248205323724705"/>
          <c:h val="0.74069880533509092"/>
        </c:manualLayout>
      </c:layout>
      <c:pie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316</c:v>
                </c:pt>
                <c:pt idx="1">
                  <c:v>197</c:v>
                </c:pt>
              </c:numCache>
            </c:numRef>
          </c:val>
          <c:extLst>
            <c:ext xmlns:c16="http://schemas.microsoft.com/office/drawing/2014/chart" uri="{C3380CC4-5D6E-409C-BE32-E72D297353CC}">
              <c16:uniqueId val="{0000000A-9BD0-4983-85A0-6EF9CA40810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582137814755509"/>
          <c:y val="4.052669414423412E-2"/>
          <c:w val="0.647290102929309"/>
          <c:h val="0.1350199015319219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Report!PivotTable11</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349117001087815"/>
          <c:y val="0.20601006401423375"/>
          <c:w val="0.62832363791417967"/>
          <c:h val="0.70073388417333871"/>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241</c:v>
                </c:pt>
                <c:pt idx="1">
                  <c:v>272</c:v>
                </c:pt>
              </c:numCache>
            </c:numRef>
          </c:val>
          <c:extLst>
            <c:ext xmlns:c16="http://schemas.microsoft.com/office/drawing/2014/chart" uri="{C3380CC4-5D6E-409C-BE32-E72D297353CC}">
              <c16:uniqueId val="{0000000A-0742-49F2-AD81-CFC74137BDC4}"/>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layout>
        <c:manualLayout>
          <c:xMode val="edge"/>
          <c:yMode val="edge"/>
          <c:x val="0.19027824666401791"/>
          <c:y val="3.9468898712714615E-3"/>
          <c:w val="0.67361077619236809"/>
          <c:h val="0.1897512340967573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Report!PivotTable12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Report'!$A$87:$A$95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Report'!$B$87:$B$95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6-C126-4555-BA7E-332E63128699}"/>
            </c:ext>
          </c:extLst>
        </c:ser>
        <c:dLbls>
          <c:showLegendKey val="0"/>
          <c:showVal val="0"/>
          <c:showCatName val="0"/>
          <c:showSerName val="0"/>
          <c:showPercent val="0"/>
          <c:showBubbleSize val="0"/>
        </c:dLbls>
        <c:gapWidth val="32"/>
        <c:axId val="1771048415"/>
        <c:axId val="1771042655"/>
      </c:barChart>
      <c:catAx>
        <c:axId val="177104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71042655"/>
        <c:crosses val="autoZero"/>
        <c:auto val="1"/>
        <c:lblAlgn val="ctr"/>
        <c:lblOffset val="100"/>
        <c:noMultiLvlLbl val="0"/>
      </c:catAx>
      <c:valAx>
        <c:axId val="17710426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7104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1E21-4981-BB44-A8717F3542D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9437408"/>
        <c:axId val="2009438368"/>
      </c:areaChart>
      <c:catAx>
        <c:axId val="20094374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2009438368"/>
        <c:crosses val="autoZero"/>
        <c:auto val="1"/>
        <c:lblAlgn val="ctr"/>
        <c:lblOffset val="100"/>
        <c:noMultiLvlLbl val="0"/>
      </c:catAx>
      <c:valAx>
        <c:axId val="2009438368"/>
        <c:scaling>
          <c:orientation val="minMax"/>
        </c:scaling>
        <c:delete val="1"/>
        <c:axPos val="l"/>
        <c:numFmt formatCode="General" sourceLinked="1"/>
        <c:majorTickMark val="out"/>
        <c:minorTickMark val="none"/>
        <c:tickLblPos val="nextTo"/>
        <c:crossAx val="2009437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9920378557459E-2"/>
          <c:y val="0"/>
          <c:w val="0.96980155819204072"/>
          <c:h val="0.9818949132115111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BEC5-46A5-B229-2B457A2B758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9440768"/>
        <c:axId val="2009446528"/>
      </c:areaChart>
      <c:catAx>
        <c:axId val="20094407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9446528"/>
        <c:crosses val="autoZero"/>
        <c:auto val="1"/>
        <c:lblAlgn val="ctr"/>
        <c:lblOffset val="100"/>
        <c:noMultiLvlLbl val="0"/>
      </c:catAx>
      <c:valAx>
        <c:axId val="2009446528"/>
        <c:scaling>
          <c:orientation val="minMax"/>
        </c:scaling>
        <c:delete val="1"/>
        <c:axPos val="l"/>
        <c:numFmt formatCode="0.00" sourceLinked="1"/>
        <c:majorTickMark val="out"/>
        <c:minorTickMark val="none"/>
        <c:tickLblPos val="nextTo"/>
        <c:crossAx val="2009440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Report!PivotTable6</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39659199999221E-2"/>
          <c:y val="0"/>
          <c:w val="0.89692286433151047"/>
          <c:h val="0.76042076771653544"/>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DED8-4EEF-9533-ABF6E05B841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9459008"/>
        <c:axId val="2009460448"/>
      </c:areaChart>
      <c:catAx>
        <c:axId val="20094590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9460448"/>
        <c:crosses val="autoZero"/>
        <c:auto val="1"/>
        <c:lblAlgn val="ctr"/>
        <c:lblOffset val="100"/>
        <c:noMultiLvlLbl val="0"/>
      </c:catAx>
      <c:valAx>
        <c:axId val="2009460448"/>
        <c:scaling>
          <c:orientation val="minMax"/>
        </c:scaling>
        <c:delete val="1"/>
        <c:axPos val="l"/>
        <c:numFmt formatCode="0.00" sourceLinked="1"/>
        <c:majorTickMark val="out"/>
        <c:minorTickMark val="none"/>
        <c:tickLblPos val="nextTo"/>
        <c:crossAx val="2009459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39756</xdr:colOff>
      <xdr:row>48</xdr:row>
      <xdr:rowOff>178904</xdr:rowOff>
    </xdr:from>
    <xdr:to>
      <xdr:col>3</xdr:col>
      <xdr:colOff>974034</xdr:colOff>
      <xdr:row>51</xdr:row>
      <xdr:rowOff>6626</xdr:rowOff>
    </xdr:to>
    <xdr:graphicFrame macro="">
      <xdr:nvGraphicFramePr>
        <xdr:cNvPr id="6" name="Chart 5">
          <a:extLst>
            <a:ext uri="{FF2B5EF4-FFF2-40B4-BE49-F238E27FC236}">
              <a16:creationId xmlns:a16="http://schemas.microsoft.com/office/drawing/2014/main" id="{5989A62A-2BE6-26BF-9E84-A50D9AB8D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134983</xdr:colOff>
      <xdr:row>1</xdr:row>
      <xdr:rowOff>8710</xdr:rowOff>
    </xdr:from>
    <xdr:to>
      <xdr:col>4</xdr:col>
      <xdr:colOff>457200</xdr:colOff>
      <xdr:row>4</xdr:row>
      <xdr:rowOff>21772</xdr:rowOff>
    </xdr:to>
    <xdr:sp macro="" textlink="">
      <xdr:nvSpPr>
        <xdr:cNvPr id="2" name="Rectangle: Rounded Corners 1">
          <a:extLst>
            <a:ext uri="{FF2B5EF4-FFF2-40B4-BE49-F238E27FC236}">
              <a16:creationId xmlns:a16="http://schemas.microsoft.com/office/drawing/2014/main" id="{3D271059-DDC1-2958-0988-E92C37E2A038}"/>
            </a:ext>
          </a:extLst>
        </xdr:cNvPr>
        <xdr:cNvSpPr/>
      </xdr:nvSpPr>
      <xdr:spPr>
        <a:xfrm>
          <a:off x="134983" y="191590"/>
          <a:ext cx="2808514" cy="561702"/>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108857</xdr:colOff>
      <xdr:row>4</xdr:row>
      <xdr:rowOff>56607</xdr:rowOff>
    </xdr:from>
    <xdr:to>
      <xdr:col>1</xdr:col>
      <xdr:colOff>78377</xdr:colOff>
      <xdr:row>14</xdr:row>
      <xdr:rowOff>108857</xdr:rowOff>
    </xdr:to>
    <xdr:sp macro="" textlink="">
      <xdr:nvSpPr>
        <xdr:cNvPr id="3" name="Rectangle: Rounded Corners 2">
          <a:extLst>
            <a:ext uri="{FF2B5EF4-FFF2-40B4-BE49-F238E27FC236}">
              <a16:creationId xmlns:a16="http://schemas.microsoft.com/office/drawing/2014/main" id="{2972D922-C5BF-64C5-0F46-929460F1D96B}"/>
            </a:ext>
          </a:extLst>
        </xdr:cNvPr>
        <xdr:cNvSpPr/>
      </xdr:nvSpPr>
      <xdr:spPr>
        <a:xfrm>
          <a:off x="108857" y="788127"/>
          <a:ext cx="579120" cy="1881050"/>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108858</xdr:colOff>
      <xdr:row>4</xdr:row>
      <xdr:rowOff>65317</xdr:rowOff>
    </xdr:from>
    <xdr:to>
      <xdr:col>2</xdr:col>
      <xdr:colOff>535578</xdr:colOff>
      <xdr:row>7</xdr:row>
      <xdr:rowOff>95794</xdr:rowOff>
    </xdr:to>
    <xdr:sp macro="" textlink="">
      <xdr:nvSpPr>
        <xdr:cNvPr id="8" name="Rectangle: Rounded Corners 7">
          <a:extLst>
            <a:ext uri="{FF2B5EF4-FFF2-40B4-BE49-F238E27FC236}">
              <a16:creationId xmlns:a16="http://schemas.microsoft.com/office/drawing/2014/main" id="{F5CF8C0A-8A15-FD08-F89C-9F3A656584A3}"/>
            </a:ext>
          </a:extLst>
        </xdr:cNvPr>
        <xdr:cNvSpPr/>
      </xdr:nvSpPr>
      <xdr:spPr>
        <a:xfrm>
          <a:off x="718458" y="796837"/>
          <a:ext cx="1036320" cy="579117"/>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557349</xdr:colOff>
      <xdr:row>4</xdr:row>
      <xdr:rowOff>74025</xdr:rowOff>
    </xdr:from>
    <xdr:to>
      <xdr:col>4</xdr:col>
      <xdr:colOff>326572</xdr:colOff>
      <xdr:row>7</xdr:row>
      <xdr:rowOff>104502</xdr:rowOff>
    </xdr:to>
    <xdr:sp macro="" textlink="">
      <xdr:nvSpPr>
        <xdr:cNvPr id="9" name="Rectangle: Rounded Corners 8">
          <a:extLst>
            <a:ext uri="{FF2B5EF4-FFF2-40B4-BE49-F238E27FC236}">
              <a16:creationId xmlns:a16="http://schemas.microsoft.com/office/drawing/2014/main" id="{4E577A55-A0E7-695B-4B94-185C72953E1B}"/>
            </a:ext>
          </a:extLst>
        </xdr:cNvPr>
        <xdr:cNvSpPr/>
      </xdr:nvSpPr>
      <xdr:spPr>
        <a:xfrm>
          <a:off x="1776549" y="805545"/>
          <a:ext cx="1036320" cy="579117"/>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352698</xdr:colOff>
      <xdr:row>4</xdr:row>
      <xdr:rowOff>69671</xdr:rowOff>
    </xdr:from>
    <xdr:to>
      <xdr:col>6</xdr:col>
      <xdr:colOff>169818</xdr:colOff>
      <xdr:row>7</xdr:row>
      <xdr:rowOff>100148</xdr:rowOff>
    </xdr:to>
    <xdr:sp macro="" textlink="">
      <xdr:nvSpPr>
        <xdr:cNvPr id="10" name="Rectangle: Rounded Corners 9">
          <a:extLst>
            <a:ext uri="{FF2B5EF4-FFF2-40B4-BE49-F238E27FC236}">
              <a16:creationId xmlns:a16="http://schemas.microsoft.com/office/drawing/2014/main" id="{AFE4CBC0-A04E-7DDE-99AD-DEBBCAF45524}"/>
            </a:ext>
          </a:extLst>
        </xdr:cNvPr>
        <xdr:cNvSpPr/>
      </xdr:nvSpPr>
      <xdr:spPr>
        <a:xfrm>
          <a:off x="2838995" y="801191"/>
          <a:ext cx="1036320" cy="579117"/>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483326</xdr:colOff>
      <xdr:row>1</xdr:row>
      <xdr:rowOff>26127</xdr:rowOff>
    </xdr:from>
    <xdr:to>
      <xdr:col>6</xdr:col>
      <xdr:colOff>169818</xdr:colOff>
      <xdr:row>4</xdr:row>
      <xdr:rowOff>39189</xdr:rowOff>
    </xdr:to>
    <xdr:sp macro="" textlink="">
      <xdr:nvSpPr>
        <xdr:cNvPr id="12" name="Rectangle: Rounded Corners 11">
          <a:extLst>
            <a:ext uri="{FF2B5EF4-FFF2-40B4-BE49-F238E27FC236}">
              <a16:creationId xmlns:a16="http://schemas.microsoft.com/office/drawing/2014/main" id="{D7D54C81-B12E-A069-E0AA-48B91BF1EB59}"/>
            </a:ext>
          </a:extLst>
        </xdr:cNvPr>
        <xdr:cNvSpPr/>
      </xdr:nvSpPr>
      <xdr:spPr>
        <a:xfrm>
          <a:off x="2969623" y="209007"/>
          <a:ext cx="905692" cy="561702"/>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113212</xdr:colOff>
      <xdr:row>7</xdr:row>
      <xdr:rowOff>134983</xdr:rowOff>
    </xdr:from>
    <xdr:to>
      <xdr:col>6</xdr:col>
      <xdr:colOff>174173</xdr:colOff>
      <xdr:row>11</xdr:row>
      <xdr:rowOff>169816</xdr:rowOff>
    </xdr:to>
    <xdr:sp macro="" textlink="">
      <xdr:nvSpPr>
        <xdr:cNvPr id="13" name="Rectangle: Rounded Corners 12">
          <a:extLst>
            <a:ext uri="{FF2B5EF4-FFF2-40B4-BE49-F238E27FC236}">
              <a16:creationId xmlns:a16="http://schemas.microsoft.com/office/drawing/2014/main" id="{218134E3-02A8-CC8D-E2C0-88365227639A}"/>
            </a:ext>
          </a:extLst>
        </xdr:cNvPr>
        <xdr:cNvSpPr/>
      </xdr:nvSpPr>
      <xdr:spPr>
        <a:xfrm>
          <a:off x="722812" y="1415143"/>
          <a:ext cx="3156858" cy="766353"/>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213359</xdr:colOff>
      <xdr:row>1</xdr:row>
      <xdr:rowOff>26126</xdr:rowOff>
    </xdr:from>
    <xdr:to>
      <xdr:col>8</xdr:col>
      <xdr:colOff>213359</xdr:colOff>
      <xdr:row>7</xdr:row>
      <xdr:rowOff>78377</xdr:rowOff>
    </xdr:to>
    <xdr:sp macro="" textlink="">
      <xdr:nvSpPr>
        <xdr:cNvPr id="14" name="Rectangle: Rounded Corners 13">
          <a:extLst>
            <a:ext uri="{FF2B5EF4-FFF2-40B4-BE49-F238E27FC236}">
              <a16:creationId xmlns:a16="http://schemas.microsoft.com/office/drawing/2014/main" id="{AB92C809-21A3-09B0-FC99-6F7AB84F5FBB}"/>
            </a:ext>
          </a:extLst>
        </xdr:cNvPr>
        <xdr:cNvSpPr/>
      </xdr:nvSpPr>
      <xdr:spPr>
        <a:xfrm>
          <a:off x="3918856" y="209006"/>
          <a:ext cx="1219200" cy="1149531"/>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248193</xdr:colOff>
      <xdr:row>1</xdr:row>
      <xdr:rowOff>30480</xdr:rowOff>
    </xdr:from>
    <xdr:to>
      <xdr:col>10</xdr:col>
      <xdr:colOff>248193</xdr:colOff>
      <xdr:row>7</xdr:row>
      <xdr:rowOff>82731</xdr:rowOff>
    </xdr:to>
    <xdr:sp macro="" textlink="">
      <xdr:nvSpPr>
        <xdr:cNvPr id="15" name="Rectangle: Rounded Corners 14">
          <a:extLst>
            <a:ext uri="{FF2B5EF4-FFF2-40B4-BE49-F238E27FC236}">
              <a16:creationId xmlns:a16="http://schemas.microsoft.com/office/drawing/2014/main" id="{9F4B418D-9715-3139-AAA9-A7BFA2FB2253}"/>
            </a:ext>
          </a:extLst>
        </xdr:cNvPr>
        <xdr:cNvSpPr/>
      </xdr:nvSpPr>
      <xdr:spPr>
        <a:xfrm>
          <a:off x="5172890" y="213360"/>
          <a:ext cx="1219200" cy="1149531"/>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235130</xdr:colOff>
      <xdr:row>7</xdr:row>
      <xdr:rowOff>126274</xdr:rowOff>
    </xdr:from>
    <xdr:to>
      <xdr:col>10</xdr:col>
      <xdr:colOff>269966</xdr:colOff>
      <xdr:row>14</xdr:row>
      <xdr:rowOff>87085</xdr:rowOff>
    </xdr:to>
    <xdr:sp macro="" textlink="">
      <xdr:nvSpPr>
        <xdr:cNvPr id="16" name="Rectangle: Rounded Corners 15">
          <a:extLst>
            <a:ext uri="{FF2B5EF4-FFF2-40B4-BE49-F238E27FC236}">
              <a16:creationId xmlns:a16="http://schemas.microsoft.com/office/drawing/2014/main" id="{23F79231-7C40-E8C2-9CE7-449B30A2E62E}"/>
            </a:ext>
          </a:extLst>
        </xdr:cNvPr>
        <xdr:cNvSpPr/>
      </xdr:nvSpPr>
      <xdr:spPr>
        <a:xfrm>
          <a:off x="3940627" y="1406434"/>
          <a:ext cx="2473236" cy="1240971"/>
        </a:xfrm>
        <a:prstGeom prst="roundRect">
          <a:avLst>
            <a:gd name="adj" fmla="val 65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489857</xdr:colOff>
      <xdr:row>1</xdr:row>
      <xdr:rowOff>91439</xdr:rowOff>
    </xdr:from>
    <xdr:to>
      <xdr:col>4</xdr:col>
      <xdr:colOff>509452</xdr:colOff>
      <xdr:row>2</xdr:row>
      <xdr:rowOff>134982</xdr:rowOff>
    </xdr:to>
    <xdr:sp macro="" textlink="">
      <xdr:nvSpPr>
        <xdr:cNvPr id="18" name="TextBox 17">
          <a:extLst>
            <a:ext uri="{FF2B5EF4-FFF2-40B4-BE49-F238E27FC236}">
              <a16:creationId xmlns:a16="http://schemas.microsoft.com/office/drawing/2014/main" id="{9E1AB05C-0D2C-D00B-56B4-4B7EA2698246}"/>
            </a:ext>
          </a:extLst>
        </xdr:cNvPr>
        <xdr:cNvSpPr txBox="1"/>
      </xdr:nvSpPr>
      <xdr:spPr>
        <a:xfrm>
          <a:off x="489857" y="274319"/>
          <a:ext cx="2505892"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a:t>
          </a:r>
          <a:r>
            <a:rPr lang="en-IN" sz="1200" baseline="0"/>
            <a:t> Emergency Room Dashboard</a:t>
          </a:r>
          <a:endParaRPr lang="en-IN" sz="1200"/>
        </a:p>
      </xdr:txBody>
    </xdr:sp>
    <xdr:clientData/>
  </xdr:twoCellAnchor>
  <xdr:twoCellAnchor editAs="oneCell">
    <xdr:from>
      <xdr:col>0</xdr:col>
      <xdr:colOff>148047</xdr:colOff>
      <xdr:row>1</xdr:row>
      <xdr:rowOff>43542</xdr:rowOff>
    </xdr:from>
    <xdr:to>
      <xdr:col>0</xdr:col>
      <xdr:colOff>583475</xdr:colOff>
      <xdr:row>3</xdr:row>
      <xdr:rowOff>161109</xdr:rowOff>
    </xdr:to>
    <xdr:pic>
      <xdr:nvPicPr>
        <xdr:cNvPr id="20" name="Picture 19">
          <a:extLst>
            <a:ext uri="{FF2B5EF4-FFF2-40B4-BE49-F238E27FC236}">
              <a16:creationId xmlns:a16="http://schemas.microsoft.com/office/drawing/2014/main" id="{210A58FE-F037-5DFD-A0BB-D2A8AC031CF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637" t="9775" r="19883" b="12781"/>
        <a:stretch>
          <a:fillRect/>
        </a:stretch>
      </xdr:blipFill>
      <xdr:spPr>
        <a:xfrm>
          <a:off x="148047" y="226422"/>
          <a:ext cx="435428" cy="483327"/>
        </a:xfrm>
        <a:prstGeom prst="rect">
          <a:avLst/>
        </a:prstGeom>
      </xdr:spPr>
    </xdr:pic>
    <xdr:clientData/>
  </xdr:twoCellAnchor>
  <xdr:twoCellAnchor editAs="absolute">
    <xdr:from>
      <xdr:col>1</xdr:col>
      <xdr:colOff>576941</xdr:colOff>
      <xdr:row>2</xdr:row>
      <xdr:rowOff>121922</xdr:rowOff>
    </xdr:from>
    <xdr:to>
      <xdr:col>3</xdr:col>
      <xdr:colOff>152399</xdr:colOff>
      <xdr:row>3</xdr:row>
      <xdr:rowOff>91441</xdr:rowOff>
    </xdr:to>
    <xdr:sp macro="" textlink="">
      <xdr:nvSpPr>
        <xdr:cNvPr id="21" name="TextBox 20">
          <a:extLst>
            <a:ext uri="{FF2B5EF4-FFF2-40B4-BE49-F238E27FC236}">
              <a16:creationId xmlns:a16="http://schemas.microsoft.com/office/drawing/2014/main" id="{A8D44390-9866-E230-73C9-5DC6491ACC1B}"/>
            </a:ext>
          </a:extLst>
        </xdr:cNvPr>
        <xdr:cNvSpPr txBox="1"/>
      </xdr:nvSpPr>
      <xdr:spPr>
        <a:xfrm>
          <a:off x="1186541" y="487682"/>
          <a:ext cx="79465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a:t>
          </a:r>
          <a:r>
            <a:rPr lang="en-IN" sz="900" baseline="0"/>
            <a:t> Report</a:t>
          </a:r>
          <a:endParaRPr lang="en-IN" sz="900"/>
        </a:p>
      </xdr:txBody>
    </xdr:sp>
    <xdr:clientData/>
  </xdr:twoCellAnchor>
  <xdr:twoCellAnchor editAs="absolute">
    <xdr:from>
      <xdr:col>1</xdr:col>
      <xdr:colOff>246014</xdr:colOff>
      <xdr:row>5</xdr:row>
      <xdr:rowOff>82733</xdr:rowOff>
    </xdr:from>
    <xdr:to>
      <xdr:col>2</xdr:col>
      <xdr:colOff>431072</xdr:colOff>
      <xdr:row>6</xdr:row>
      <xdr:rowOff>52252</xdr:rowOff>
    </xdr:to>
    <xdr:sp macro="" textlink="">
      <xdr:nvSpPr>
        <xdr:cNvPr id="22" name="TextBox 21">
          <a:extLst>
            <a:ext uri="{FF2B5EF4-FFF2-40B4-BE49-F238E27FC236}">
              <a16:creationId xmlns:a16="http://schemas.microsoft.com/office/drawing/2014/main" id="{684D93E5-6600-4761-C1DB-1854B7AD5A08}"/>
            </a:ext>
          </a:extLst>
        </xdr:cNvPr>
        <xdr:cNvSpPr txBox="1"/>
      </xdr:nvSpPr>
      <xdr:spPr>
        <a:xfrm>
          <a:off x="855614" y="997133"/>
          <a:ext cx="79465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a:t>
          </a:r>
          <a:r>
            <a:rPr lang="en-IN" sz="900" baseline="0"/>
            <a:t> Of Patient</a:t>
          </a:r>
          <a:endParaRPr lang="en-IN" sz="900"/>
        </a:p>
      </xdr:txBody>
    </xdr:sp>
    <xdr:clientData/>
  </xdr:twoCellAnchor>
  <xdr:twoCellAnchor editAs="absolute">
    <xdr:from>
      <xdr:col>3</xdr:col>
      <xdr:colOff>19592</xdr:colOff>
      <xdr:row>4</xdr:row>
      <xdr:rowOff>104507</xdr:rowOff>
    </xdr:from>
    <xdr:to>
      <xdr:col>4</xdr:col>
      <xdr:colOff>156753</xdr:colOff>
      <xdr:row>5</xdr:row>
      <xdr:rowOff>74026</xdr:rowOff>
    </xdr:to>
    <xdr:sp macro="" textlink="'Pivot Report'!A9">
      <xdr:nvSpPr>
        <xdr:cNvPr id="24" name="TextBox 23">
          <a:extLst>
            <a:ext uri="{FF2B5EF4-FFF2-40B4-BE49-F238E27FC236}">
              <a16:creationId xmlns:a16="http://schemas.microsoft.com/office/drawing/2014/main" id="{3E8B0CF4-EA22-7AE4-9AB1-E3007229D38A}"/>
            </a:ext>
          </a:extLst>
        </xdr:cNvPr>
        <xdr:cNvSpPr txBox="1"/>
      </xdr:nvSpPr>
      <xdr:spPr>
        <a:xfrm>
          <a:off x="1848392" y="836027"/>
          <a:ext cx="79465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5DC33A1-9B2B-4B4C-BB26-EAC7C62157CB}" type="TxLink">
            <a:rPr lang="en-US" sz="1100" b="0" i="0" u="none" strike="noStrike">
              <a:solidFill>
                <a:srgbClr val="000000"/>
              </a:solidFill>
              <a:latin typeface="Calibri"/>
              <a:ea typeface="Calibri"/>
              <a:cs typeface="Calibri"/>
            </a:rPr>
            <a:pPr algn="ctr"/>
            <a:t>36.32</a:t>
          </a:fld>
          <a:endParaRPr lang="en-IN" sz="900"/>
        </a:p>
      </xdr:txBody>
    </xdr:sp>
    <xdr:clientData/>
  </xdr:twoCellAnchor>
  <xdr:twoCellAnchor editAs="absolute">
    <xdr:from>
      <xdr:col>3</xdr:col>
      <xdr:colOff>2174</xdr:colOff>
      <xdr:row>5</xdr:row>
      <xdr:rowOff>74024</xdr:rowOff>
    </xdr:from>
    <xdr:to>
      <xdr:col>4</xdr:col>
      <xdr:colOff>235130</xdr:colOff>
      <xdr:row>6</xdr:row>
      <xdr:rowOff>43543</xdr:rowOff>
    </xdr:to>
    <xdr:sp macro="" textlink="">
      <xdr:nvSpPr>
        <xdr:cNvPr id="26" name="TextBox 25">
          <a:extLst>
            <a:ext uri="{FF2B5EF4-FFF2-40B4-BE49-F238E27FC236}">
              <a16:creationId xmlns:a16="http://schemas.microsoft.com/office/drawing/2014/main" id="{2E26DEFD-8C59-A587-F350-E2184E2276D6}"/>
            </a:ext>
          </a:extLst>
        </xdr:cNvPr>
        <xdr:cNvSpPr txBox="1"/>
      </xdr:nvSpPr>
      <xdr:spPr>
        <a:xfrm>
          <a:off x="1830974" y="988424"/>
          <a:ext cx="890453"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Average</a:t>
          </a:r>
          <a:r>
            <a:rPr lang="en-IN" sz="900" baseline="0"/>
            <a:t> Wait Time</a:t>
          </a:r>
          <a:endParaRPr lang="en-IN" sz="900"/>
        </a:p>
      </xdr:txBody>
    </xdr:sp>
    <xdr:clientData/>
  </xdr:twoCellAnchor>
  <xdr:twoCellAnchor editAs="absolute">
    <xdr:from>
      <xdr:col>4</xdr:col>
      <xdr:colOff>248195</xdr:colOff>
      <xdr:row>5</xdr:row>
      <xdr:rowOff>21773</xdr:rowOff>
    </xdr:from>
    <xdr:to>
      <xdr:col>6</xdr:col>
      <xdr:colOff>261257</xdr:colOff>
      <xdr:row>6</xdr:row>
      <xdr:rowOff>95794</xdr:rowOff>
    </xdr:to>
    <xdr:sp macro="" textlink="">
      <xdr:nvSpPr>
        <xdr:cNvPr id="27" name="TextBox 26">
          <a:extLst>
            <a:ext uri="{FF2B5EF4-FFF2-40B4-BE49-F238E27FC236}">
              <a16:creationId xmlns:a16="http://schemas.microsoft.com/office/drawing/2014/main" id="{35E143B4-6CA8-EE77-4E07-246D63DF2B55}"/>
            </a:ext>
          </a:extLst>
        </xdr:cNvPr>
        <xdr:cNvSpPr txBox="1"/>
      </xdr:nvSpPr>
      <xdr:spPr>
        <a:xfrm>
          <a:off x="2734492" y="936173"/>
          <a:ext cx="1232262" cy="25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a:t>
          </a:r>
          <a:r>
            <a:rPr lang="en-IN" sz="800" baseline="0"/>
            <a:t> </a:t>
          </a:r>
          <a:r>
            <a:rPr lang="en-IN" sz="800"/>
            <a:t>Satisfaction</a:t>
          </a:r>
          <a:r>
            <a:rPr lang="en-IN" sz="800" baseline="0"/>
            <a:t> Score</a:t>
          </a:r>
          <a:endParaRPr lang="en-IN" sz="800"/>
        </a:p>
      </xdr:txBody>
    </xdr:sp>
    <xdr:clientData/>
  </xdr:twoCellAnchor>
  <xdr:twoCellAnchor editAs="oneCell">
    <xdr:from>
      <xdr:col>2</xdr:col>
      <xdr:colOff>313508</xdr:colOff>
      <xdr:row>4</xdr:row>
      <xdr:rowOff>78377</xdr:rowOff>
    </xdr:from>
    <xdr:to>
      <xdr:col>2</xdr:col>
      <xdr:colOff>513806</xdr:colOff>
      <xdr:row>5</xdr:row>
      <xdr:rowOff>95795</xdr:rowOff>
    </xdr:to>
    <xdr:pic>
      <xdr:nvPicPr>
        <xdr:cNvPr id="29" name="Graphic 28" descr="Male profile">
          <a:extLst>
            <a:ext uri="{FF2B5EF4-FFF2-40B4-BE49-F238E27FC236}">
              <a16:creationId xmlns:a16="http://schemas.microsoft.com/office/drawing/2014/main" id="{77BC4942-A9E3-50A6-C834-39FACB3ECF5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32708" y="809897"/>
          <a:ext cx="200298" cy="200298"/>
        </a:xfrm>
        <a:prstGeom prst="rect">
          <a:avLst/>
        </a:prstGeom>
      </xdr:spPr>
    </xdr:pic>
    <xdr:clientData/>
  </xdr:twoCellAnchor>
  <xdr:twoCellAnchor editAs="oneCell">
    <xdr:from>
      <xdr:col>4</xdr:col>
      <xdr:colOff>139334</xdr:colOff>
      <xdr:row>4</xdr:row>
      <xdr:rowOff>74016</xdr:rowOff>
    </xdr:from>
    <xdr:to>
      <xdr:col>4</xdr:col>
      <xdr:colOff>335280</xdr:colOff>
      <xdr:row>5</xdr:row>
      <xdr:rowOff>69668</xdr:rowOff>
    </xdr:to>
    <xdr:pic>
      <xdr:nvPicPr>
        <xdr:cNvPr id="31" name="Graphic 30" descr="Hourglass">
          <a:extLst>
            <a:ext uri="{FF2B5EF4-FFF2-40B4-BE49-F238E27FC236}">
              <a16:creationId xmlns:a16="http://schemas.microsoft.com/office/drawing/2014/main" id="{74BDAEA5-E327-F1C4-A5EB-3ADB3480E9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2625631" y="805536"/>
          <a:ext cx="195946" cy="178532"/>
        </a:xfrm>
        <a:prstGeom prst="rect">
          <a:avLst/>
        </a:prstGeom>
      </xdr:spPr>
    </xdr:pic>
    <xdr:clientData/>
  </xdr:twoCellAnchor>
  <xdr:twoCellAnchor editAs="oneCell">
    <xdr:from>
      <xdr:col>5</xdr:col>
      <xdr:colOff>592184</xdr:colOff>
      <xdr:row>4</xdr:row>
      <xdr:rowOff>82732</xdr:rowOff>
    </xdr:from>
    <xdr:to>
      <xdr:col>6</xdr:col>
      <xdr:colOff>148046</xdr:colOff>
      <xdr:row>5</xdr:row>
      <xdr:rowOff>65314</xdr:rowOff>
    </xdr:to>
    <xdr:pic>
      <xdr:nvPicPr>
        <xdr:cNvPr id="33" name="Graphic 32" descr="Customer review">
          <a:extLst>
            <a:ext uri="{FF2B5EF4-FFF2-40B4-BE49-F238E27FC236}">
              <a16:creationId xmlns:a16="http://schemas.microsoft.com/office/drawing/2014/main" id="{AC131468-CA56-D324-69B6-C505B0012D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3688081" y="814252"/>
          <a:ext cx="165462" cy="165462"/>
        </a:xfrm>
        <a:prstGeom prst="rect">
          <a:avLst/>
        </a:prstGeom>
      </xdr:spPr>
    </xdr:pic>
    <xdr:clientData/>
  </xdr:twoCellAnchor>
  <xdr:twoCellAnchor editAs="oneCell">
    <xdr:from>
      <xdr:col>0</xdr:col>
      <xdr:colOff>134984</xdr:colOff>
      <xdr:row>4</xdr:row>
      <xdr:rowOff>74022</xdr:rowOff>
    </xdr:from>
    <xdr:to>
      <xdr:col>1</xdr:col>
      <xdr:colOff>65384</xdr:colOff>
      <xdr:row>14</xdr:row>
      <xdr:rowOff>95793</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6FFF4020-97C4-4D50-A8A2-81903D6FFA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4984" y="805542"/>
              <a:ext cx="540000" cy="1850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82729</xdr:colOff>
      <xdr:row>6</xdr:row>
      <xdr:rowOff>65314</xdr:rowOff>
    </xdr:from>
    <xdr:to>
      <xdr:col>2</xdr:col>
      <xdr:colOff>518160</xdr:colOff>
      <xdr:row>7</xdr:row>
      <xdr:rowOff>134983</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27B18B14-B04B-4226-8DCB-A15867009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522514</xdr:colOff>
      <xdr:row>6</xdr:row>
      <xdr:rowOff>148045</xdr:rowOff>
    </xdr:from>
    <xdr:to>
      <xdr:col>4</xdr:col>
      <xdr:colOff>322216</xdr:colOff>
      <xdr:row>7</xdr:row>
      <xdr:rowOff>100148</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5B85F516-0EDD-43F5-AFFC-3FF9E606C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322216</xdr:colOff>
      <xdr:row>5</xdr:row>
      <xdr:rowOff>156753</xdr:rowOff>
    </xdr:from>
    <xdr:to>
      <xdr:col>6</xdr:col>
      <xdr:colOff>195942</xdr:colOff>
      <xdr:row>7</xdr:row>
      <xdr:rowOff>95794</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1568AA91-3037-475B-AA08-B5524557F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xdr:col>
      <xdr:colOff>189410</xdr:colOff>
      <xdr:row>4</xdr:row>
      <xdr:rowOff>108861</xdr:rowOff>
    </xdr:from>
    <xdr:to>
      <xdr:col>2</xdr:col>
      <xdr:colOff>374468</xdr:colOff>
      <xdr:row>5</xdr:row>
      <xdr:rowOff>78380</xdr:rowOff>
    </xdr:to>
    <xdr:sp macro="" textlink="'Pivot Report'!A5">
      <xdr:nvSpPr>
        <xdr:cNvPr id="38" name="TextBox 37">
          <a:extLst>
            <a:ext uri="{FF2B5EF4-FFF2-40B4-BE49-F238E27FC236}">
              <a16:creationId xmlns:a16="http://schemas.microsoft.com/office/drawing/2014/main" id="{8814AAF7-54FD-B500-7E91-70CAAE72AF6A}"/>
            </a:ext>
          </a:extLst>
        </xdr:cNvPr>
        <xdr:cNvSpPr txBox="1"/>
      </xdr:nvSpPr>
      <xdr:spPr>
        <a:xfrm>
          <a:off x="799010" y="840381"/>
          <a:ext cx="79465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01B6CFB-EFEA-473A-B1CA-1BC246C0A6DA}" type="TxLink">
            <a:rPr lang="en-US" sz="1100" b="0" i="0" u="none" strike="noStrike">
              <a:solidFill>
                <a:srgbClr val="000000"/>
              </a:solidFill>
              <a:latin typeface="Calibri"/>
              <a:ea typeface="Calibri"/>
              <a:cs typeface="Calibri"/>
            </a:rPr>
            <a:pPr algn="ctr"/>
            <a:t>513</a:t>
          </a:fld>
          <a:endParaRPr lang="en-IN" sz="900"/>
        </a:p>
      </xdr:txBody>
    </xdr:sp>
    <xdr:clientData/>
  </xdr:twoCellAnchor>
  <xdr:twoCellAnchor editAs="absolute">
    <xdr:from>
      <xdr:col>4</xdr:col>
      <xdr:colOff>411478</xdr:colOff>
      <xdr:row>4</xdr:row>
      <xdr:rowOff>113216</xdr:rowOff>
    </xdr:from>
    <xdr:to>
      <xdr:col>5</xdr:col>
      <xdr:colOff>596536</xdr:colOff>
      <xdr:row>5</xdr:row>
      <xdr:rowOff>82735</xdr:rowOff>
    </xdr:to>
    <xdr:sp macro="" textlink="'Pivot Report'!A12">
      <xdr:nvSpPr>
        <xdr:cNvPr id="39" name="TextBox 38">
          <a:extLst>
            <a:ext uri="{FF2B5EF4-FFF2-40B4-BE49-F238E27FC236}">
              <a16:creationId xmlns:a16="http://schemas.microsoft.com/office/drawing/2014/main" id="{F7D5B151-3888-6311-5DD2-9D8F6602D972}"/>
            </a:ext>
          </a:extLst>
        </xdr:cNvPr>
        <xdr:cNvSpPr txBox="1"/>
      </xdr:nvSpPr>
      <xdr:spPr>
        <a:xfrm>
          <a:off x="2897775" y="844736"/>
          <a:ext cx="79465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36BEC8F-8581-4C81-B620-55519D568CAA}" type="TxLink">
            <a:rPr lang="en-US" sz="1100" b="0" i="0" u="none" strike="noStrike">
              <a:solidFill>
                <a:srgbClr val="000000"/>
              </a:solidFill>
              <a:latin typeface="Calibri"/>
              <a:ea typeface="Calibri"/>
              <a:cs typeface="Calibri"/>
            </a:rPr>
            <a:pPr algn="ctr"/>
            <a:t>4.96</a:t>
          </a:fld>
          <a:endParaRPr lang="en-IN" sz="900"/>
        </a:p>
      </xdr:txBody>
    </xdr:sp>
    <xdr:clientData/>
  </xdr:twoCellAnchor>
  <mc:AlternateContent xmlns:mc="http://schemas.openxmlformats.org/markup-compatibility/2006">
    <mc:Choice xmlns:a14="http://schemas.microsoft.com/office/drawing/2010/main" Requires="a14">
      <xdr:twoCellAnchor editAs="oneCell">
        <xdr:from>
          <xdr:col>1</xdr:col>
          <xdr:colOff>121920</xdr:colOff>
          <xdr:row>12</xdr:row>
          <xdr:rowOff>21770</xdr:rowOff>
        </xdr:from>
        <xdr:to>
          <xdr:col>6</xdr:col>
          <xdr:colOff>174172</xdr:colOff>
          <xdr:row>14</xdr:row>
          <xdr:rowOff>78378</xdr:rowOff>
        </xdr:to>
        <xdr:pic>
          <xdr:nvPicPr>
            <xdr:cNvPr id="19" name="Picture 18">
              <a:extLst>
                <a:ext uri="{FF2B5EF4-FFF2-40B4-BE49-F238E27FC236}">
                  <a16:creationId xmlns:a16="http://schemas.microsoft.com/office/drawing/2014/main" id="{07BCBA34-62CE-72A8-979B-A0F16B9A5CD8}"/>
                </a:ext>
              </a:extLst>
            </xdr:cNvPr>
            <xdr:cNvPicPr>
              <a:picLocks noChangeAspect="1" noChangeArrowheads="1"/>
              <a:extLst>
                <a:ext uri="{84589F7E-364E-4C9E-8A38-B11213B215E9}">
                  <a14:cameraTool cellRange="'Pivot Report'!$A$49:$D$51" spid="_x0000_s2056"/>
                </a:ext>
              </a:extLst>
            </xdr:cNvPicPr>
          </xdr:nvPicPr>
          <xdr:blipFill>
            <a:blip xmlns:r="http://schemas.openxmlformats.org/officeDocument/2006/relationships" r:embed="rId14"/>
            <a:srcRect/>
            <a:stretch>
              <a:fillRect/>
            </a:stretch>
          </xdr:blipFill>
          <xdr:spPr bwMode="auto">
            <a:xfrm>
              <a:off x="731520" y="2216330"/>
              <a:ext cx="3148149" cy="42236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161109</xdr:colOff>
      <xdr:row>7</xdr:row>
      <xdr:rowOff>148047</xdr:rowOff>
    </xdr:from>
    <xdr:to>
      <xdr:col>6</xdr:col>
      <xdr:colOff>95794</xdr:colOff>
      <xdr:row>11</xdr:row>
      <xdr:rowOff>87087</xdr:rowOff>
    </xdr:to>
    <xdr:graphicFrame macro="">
      <xdr:nvGraphicFramePr>
        <xdr:cNvPr id="23" name="Chart 22">
          <a:extLst>
            <a:ext uri="{FF2B5EF4-FFF2-40B4-BE49-F238E27FC236}">
              <a16:creationId xmlns:a16="http://schemas.microsoft.com/office/drawing/2014/main" id="{BC84E7AC-F748-4F6D-94B4-A06D744EC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513803</xdr:colOff>
      <xdr:row>11</xdr:row>
      <xdr:rowOff>21771</xdr:rowOff>
    </xdr:from>
    <xdr:to>
      <xdr:col>4</xdr:col>
      <xdr:colOff>278673</xdr:colOff>
      <xdr:row>11</xdr:row>
      <xdr:rowOff>174170</xdr:rowOff>
    </xdr:to>
    <xdr:sp macro="" textlink="">
      <xdr:nvSpPr>
        <xdr:cNvPr id="25" name="TextBox 24">
          <a:extLst>
            <a:ext uri="{FF2B5EF4-FFF2-40B4-BE49-F238E27FC236}">
              <a16:creationId xmlns:a16="http://schemas.microsoft.com/office/drawing/2014/main" id="{300A2424-A5E7-4AA4-990C-217F5E91F7DD}"/>
            </a:ext>
          </a:extLst>
        </xdr:cNvPr>
        <xdr:cNvSpPr txBox="1"/>
      </xdr:nvSpPr>
      <xdr:spPr>
        <a:xfrm>
          <a:off x="1733003" y="2033451"/>
          <a:ext cx="1031967"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No</a:t>
          </a:r>
          <a:r>
            <a:rPr lang="en-IN" sz="700" baseline="0"/>
            <a:t> Of Patient by Age Group</a:t>
          </a:r>
          <a:endParaRPr lang="en-IN" sz="700"/>
        </a:p>
      </xdr:txBody>
    </xdr:sp>
    <xdr:clientData/>
  </xdr:twoCellAnchor>
  <xdr:twoCellAnchor>
    <xdr:from>
      <xdr:col>6</xdr:col>
      <xdr:colOff>256902</xdr:colOff>
      <xdr:row>1</xdr:row>
      <xdr:rowOff>47898</xdr:rowOff>
    </xdr:from>
    <xdr:to>
      <xdr:col>8</xdr:col>
      <xdr:colOff>169817</xdr:colOff>
      <xdr:row>6</xdr:row>
      <xdr:rowOff>169817</xdr:rowOff>
    </xdr:to>
    <xdr:graphicFrame macro="">
      <xdr:nvGraphicFramePr>
        <xdr:cNvPr id="28" name="Chart 27">
          <a:extLst>
            <a:ext uri="{FF2B5EF4-FFF2-40B4-BE49-F238E27FC236}">
              <a16:creationId xmlns:a16="http://schemas.microsoft.com/office/drawing/2014/main" id="{FEE926D2-0EB0-44CA-91D7-99F2EC525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272139</xdr:colOff>
      <xdr:row>6</xdr:row>
      <xdr:rowOff>52252</xdr:rowOff>
    </xdr:from>
    <xdr:to>
      <xdr:col>8</xdr:col>
      <xdr:colOff>235131</xdr:colOff>
      <xdr:row>7</xdr:row>
      <xdr:rowOff>113213</xdr:rowOff>
    </xdr:to>
    <xdr:sp macro="" textlink="">
      <xdr:nvSpPr>
        <xdr:cNvPr id="30" name="TextBox 29">
          <a:extLst>
            <a:ext uri="{FF2B5EF4-FFF2-40B4-BE49-F238E27FC236}">
              <a16:creationId xmlns:a16="http://schemas.microsoft.com/office/drawing/2014/main" id="{0CB6F1E1-301B-086B-0AA3-8CD72E7343A7}"/>
            </a:ext>
          </a:extLst>
        </xdr:cNvPr>
        <xdr:cNvSpPr txBox="1"/>
      </xdr:nvSpPr>
      <xdr:spPr>
        <a:xfrm>
          <a:off x="3977636" y="1149532"/>
          <a:ext cx="1182192" cy="243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a:t>
          </a:r>
          <a:r>
            <a:rPr lang="en-IN" sz="800" baseline="0"/>
            <a:t> Attend Status</a:t>
          </a:r>
          <a:endParaRPr lang="en-IN" sz="800"/>
        </a:p>
      </xdr:txBody>
    </xdr:sp>
    <xdr:clientData/>
  </xdr:twoCellAnchor>
  <xdr:twoCellAnchor>
    <xdr:from>
      <xdr:col>8</xdr:col>
      <xdr:colOff>261257</xdr:colOff>
      <xdr:row>1</xdr:row>
      <xdr:rowOff>39189</xdr:rowOff>
    </xdr:from>
    <xdr:to>
      <xdr:col>10</xdr:col>
      <xdr:colOff>217714</xdr:colOff>
      <xdr:row>7</xdr:row>
      <xdr:rowOff>74023</xdr:rowOff>
    </xdr:to>
    <xdr:graphicFrame macro="">
      <xdr:nvGraphicFramePr>
        <xdr:cNvPr id="40" name="Chart 39">
          <a:extLst>
            <a:ext uri="{FF2B5EF4-FFF2-40B4-BE49-F238E27FC236}">
              <a16:creationId xmlns:a16="http://schemas.microsoft.com/office/drawing/2014/main" id="{21FDE2A7-F89E-4147-8DA0-61EA2BD5C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259076</xdr:colOff>
      <xdr:row>6</xdr:row>
      <xdr:rowOff>69669</xdr:rowOff>
    </xdr:from>
    <xdr:to>
      <xdr:col>10</xdr:col>
      <xdr:colOff>222068</xdr:colOff>
      <xdr:row>7</xdr:row>
      <xdr:rowOff>130630</xdr:rowOff>
    </xdr:to>
    <xdr:sp macro="" textlink="">
      <xdr:nvSpPr>
        <xdr:cNvPr id="41" name="TextBox 40">
          <a:extLst>
            <a:ext uri="{FF2B5EF4-FFF2-40B4-BE49-F238E27FC236}">
              <a16:creationId xmlns:a16="http://schemas.microsoft.com/office/drawing/2014/main" id="{FA366014-3843-1756-CB57-0BA27FDC6BDA}"/>
            </a:ext>
          </a:extLst>
        </xdr:cNvPr>
        <xdr:cNvSpPr txBox="1"/>
      </xdr:nvSpPr>
      <xdr:spPr>
        <a:xfrm>
          <a:off x="5183773" y="1166949"/>
          <a:ext cx="1182192" cy="243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Gender</a:t>
          </a:r>
          <a:r>
            <a:rPr lang="en-IN" sz="800" baseline="0"/>
            <a:t> Wise Analysis</a:t>
          </a:r>
          <a:endParaRPr lang="en-IN" sz="800"/>
        </a:p>
      </xdr:txBody>
    </xdr:sp>
    <xdr:clientData/>
  </xdr:twoCellAnchor>
  <xdr:twoCellAnchor>
    <xdr:from>
      <xdr:col>6</xdr:col>
      <xdr:colOff>274320</xdr:colOff>
      <xdr:row>7</xdr:row>
      <xdr:rowOff>161108</xdr:rowOff>
    </xdr:from>
    <xdr:to>
      <xdr:col>10</xdr:col>
      <xdr:colOff>222070</xdr:colOff>
      <xdr:row>14</xdr:row>
      <xdr:rowOff>34834</xdr:rowOff>
    </xdr:to>
    <xdr:graphicFrame macro="">
      <xdr:nvGraphicFramePr>
        <xdr:cNvPr id="42" name="Chart 41">
          <a:extLst>
            <a:ext uri="{FF2B5EF4-FFF2-40B4-BE49-F238E27FC236}">
              <a16:creationId xmlns:a16="http://schemas.microsoft.com/office/drawing/2014/main" id="{9201A807-A166-4C6E-B820-FBEC2EFC9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128446</xdr:colOff>
      <xdr:row>13</xdr:row>
      <xdr:rowOff>69668</xdr:rowOff>
    </xdr:from>
    <xdr:to>
      <xdr:col>9</xdr:col>
      <xdr:colOff>574765</xdr:colOff>
      <xdr:row>14</xdr:row>
      <xdr:rowOff>152401</xdr:rowOff>
    </xdr:to>
    <xdr:sp macro="" textlink="">
      <xdr:nvSpPr>
        <xdr:cNvPr id="47" name="TextBox 46">
          <a:extLst>
            <a:ext uri="{FF2B5EF4-FFF2-40B4-BE49-F238E27FC236}">
              <a16:creationId xmlns:a16="http://schemas.microsoft.com/office/drawing/2014/main" id="{BD9C053D-813C-B61D-2780-A2C0334863A6}"/>
            </a:ext>
          </a:extLst>
        </xdr:cNvPr>
        <xdr:cNvSpPr txBox="1"/>
      </xdr:nvSpPr>
      <xdr:spPr>
        <a:xfrm>
          <a:off x="4443543" y="2447108"/>
          <a:ext cx="1665519" cy="265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No.</a:t>
          </a:r>
          <a:r>
            <a:rPr lang="en-IN" sz="700" baseline="0"/>
            <a:t> Of Patient by Department Referal</a:t>
          </a:r>
          <a:endParaRPr lang="en-IN" sz="700"/>
        </a:p>
      </xdr:txBody>
    </xdr:sp>
    <xdr:clientData/>
  </xdr:twoCellAnchor>
  <xdr:twoCellAnchor editAs="oneCell">
    <xdr:from>
      <xdr:col>4</xdr:col>
      <xdr:colOff>500743</xdr:colOff>
      <xdr:row>1</xdr:row>
      <xdr:rowOff>78378</xdr:rowOff>
    </xdr:from>
    <xdr:to>
      <xdr:col>6</xdr:col>
      <xdr:colOff>148047</xdr:colOff>
      <xdr:row>3</xdr:row>
      <xdr:rowOff>161110</xdr:rowOff>
    </xdr:to>
    <mc:AlternateContent xmlns:mc="http://schemas.openxmlformats.org/markup-compatibility/2006">
      <mc:Choice xmlns:a14="http://schemas.microsoft.com/office/drawing/2010/main" Requires="a14">
        <xdr:graphicFrame macro="">
          <xdr:nvGraphicFramePr>
            <xdr:cNvPr id="48" name="Date (Year)">
              <a:extLst>
                <a:ext uri="{FF2B5EF4-FFF2-40B4-BE49-F238E27FC236}">
                  <a16:creationId xmlns:a16="http://schemas.microsoft.com/office/drawing/2014/main" id="{479A904C-F5FB-4EC3-AE48-D1E367E40B3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983259" y="262862"/>
              <a:ext cx="866504" cy="45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1</xdr:row>
      <xdr:rowOff>106680</xdr:rowOff>
    </xdr:from>
    <xdr:to>
      <xdr:col>13</xdr:col>
      <xdr:colOff>190500</xdr:colOff>
      <xdr:row>20</xdr:row>
      <xdr:rowOff>106680</xdr:rowOff>
    </xdr:to>
    <xdr:graphicFrame macro="">
      <xdr:nvGraphicFramePr>
        <xdr:cNvPr id="2" name="Chart 1">
          <a:extLst>
            <a:ext uri="{FF2B5EF4-FFF2-40B4-BE49-F238E27FC236}">
              <a16:creationId xmlns:a16="http://schemas.microsoft.com/office/drawing/2014/main" id="{1C86DAAF-3BD1-4C9C-91F7-52EEC11E8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350520</xdr:colOff>
      <xdr:row>2</xdr:row>
      <xdr:rowOff>83820</xdr:rowOff>
    </xdr:from>
    <xdr:to>
      <xdr:col>1</xdr:col>
      <xdr:colOff>175260</xdr:colOff>
      <xdr:row>4</xdr:row>
      <xdr:rowOff>152400</xdr:rowOff>
    </xdr:to>
    <xdr:pic>
      <xdr:nvPicPr>
        <xdr:cNvPr id="4" name="Graphic 3" descr="Home">
          <a:hlinkClick xmlns:r="http://schemas.openxmlformats.org/officeDocument/2006/relationships" r:id="rId2"/>
          <a:extLst>
            <a:ext uri="{FF2B5EF4-FFF2-40B4-BE49-F238E27FC236}">
              <a16:creationId xmlns:a16="http://schemas.microsoft.com/office/drawing/2014/main" id="{8AECE8A2-B9F1-1040-EFA7-A4158AF604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0520" y="449580"/>
          <a:ext cx="434340" cy="434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0</xdr:row>
      <xdr:rowOff>39189</xdr:rowOff>
    </xdr:from>
    <xdr:to>
      <xdr:col>8</xdr:col>
      <xdr:colOff>461554</xdr:colOff>
      <xdr:row>13</xdr:row>
      <xdr:rowOff>69669</xdr:rowOff>
    </xdr:to>
    <xdr:graphicFrame macro="">
      <xdr:nvGraphicFramePr>
        <xdr:cNvPr id="3" name="Chart 2">
          <a:extLst>
            <a:ext uri="{FF2B5EF4-FFF2-40B4-BE49-F238E27FC236}">
              <a16:creationId xmlns:a16="http://schemas.microsoft.com/office/drawing/2014/main" id="{31CF28E5-D235-4731-A75D-6CD33EF5D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161107</xdr:colOff>
      <xdr:row>0</xdr:row>
      <xdr:rowOff>148046</xdr:rowOff>
    </xdr:from>
    <xdr:to>
      <xdr:col>0</xdr:col>
      <xdr:colOff>431074</xdr:colOff>
      <xdr:row>2</xdr:row>
      <xdr:rowOff>26126</xdr:rowOff>
    </xdr:to>
    <xdr:pic>
      <xdr:nvPicPr>
        <xdr:cNvPr id="5" name="Graphic 4" descr="Home">
          <a:hlinkClick xmlns:r="http://schemas.openxmlformats.org/officeDocument/2006/relationships" r:id="rId2"/>
          <a:extLst>
            <a:ext uri="{FF2B5EF4-FFF2-40B4-BE49-F238E27FC236}">
              <a16:creationId xmlns:a16="http://schemas.microsoft.com/office/drawing/2014/main" id="{3E193CEB-57E0-DA80-6BCF-0E73DB0B55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flipV="1">
          <a:off x="161107" y="148046"/>
          <a:ext cx="269967" cy="2438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30480</xdr:rowOff>
    </xdr:from>
    <xdr:to>
      <xdr:col>7</xdr:col>
      <xdr:colOff>500744</xdr:colOff>
      <xdr:row>13</xdr:row>
      <xdr:rowOff>52251</xdr:rowOff>
    </xdr:to>
    <xdr:graphicFrame macro="">
      <xdr:nvGraphicFramePr>
        <xdr:cNvPr id="4" name="Chart 3">
          <a:extLst>
            <a:ext uri="{FF2B5EF4-FFF2-40B4-BE49-F238E27FC236}">
              <a16:creationId xmlns:a16="http://schemas.microsoft.com/office/drawing/2014/main" id="{4979D91F-494B-4262-9CDF-BA6E1FFF3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0.01065</cdr:x>
      <cdr:y>0.02117</cdr:y>
    </cdr:from>
    <cdr:to>
      <cdr:x>0.06728</cdr:x>
      <cdr:y>0.12281</cdr:y>
    </cdr:to>
    <cdr:pic>
      <cdr:nvPicPr>
        <cdr:cNvPr id="2"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3F6C499-FB70-4ED7-9D31-5BFCA8454ED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rot="10800000" flipV="1">
          <a:off x="50800" y="50800"/>
          <a:ext cx="269967" cy="2438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27546295" createdVersion="5" refreshedVersion="8" minRefreshableVersion="3" recordCount="0" supportSubquery="1" supportAdvancedDrill="1" xr:uid="{CBC31EAF-9E80-40DF-9AC7-9692C5EDC54B}">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27893518" createdVersion="5" refreshedVersion="8" minRefreshableVersion="3" recordCount="0" supportSubquery="1" supportAdvancedDrill="1" xr:uid="{474F03AB-A648-496D-8AB9-B558226D4409}">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28125003" createdVersion="5" refreshedVersion="8" minRefreshableVersion="3" recordCount="0" supportSubquery="1" supportAdvancedDrill="1" xr:uid="{E2B66B72-4571-486F-88F7-2B3DE1400274}">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28472219" createdVersion="5" refreshedVersion="8" minRefreshableVersion="3" recordCount="0" supportSubquery="1" supportAdvancedDrill="1" xr:uid="{45C17478-B779-4991-A4ED-08DF7C3223B0}">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29166665" createdVersion="5" refreshedVersion="8" minRefreshableVersion="3" recordCount="0" supportSubquery="1" supportAdvancedDrill="1" xr:uid="{0F475874-CB9D-4BDD-8F4D-C97AD3D22CE3}">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29745373" createdVersion="5" refreshedVersion="8" minRefreshableVersion="3" recordCount="0" supportSubquery="1" supportAdvancedDrill="1" xr:uid="{8A1185DE-2C39-4276-852E-93D2C1CD6F0C}">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30324074" createdVersion="5" refreshedVersion="8" minRefreshableVersion="3" recordCount="0" supportSubquery="1" supportAdvancedDrill="1" xr:uid="{1017ADE9-4EEC-46F9-A5FB-6650AA68ACFA}">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30787036" createdVersion="5" refreshedVersion="8" minRefreshableVersion="3" recordCount="0" supportSubquery="1" supportAdvancedDrill="1" xr:uid="{77EF8CC2-6F11-4A37-A2D6-76B699B2DFAD}">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7">
        <s v="0-4"/>
        <s v="05-14"/>
        <s v="15-29"/>
        <s v="30-44"/>
        <s v="45-59"/>
        <s v="60-69"/>
        <s v="70-79"/>
      </sharedItems>
    </cacheField>
    <cacheField name="[Measures].[Count of Age Group]" caption="Count of Age Group"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31365744" createdVersion="5" refreshedVersion="8" minRefreshableVersion="3" recordCount="0" supportSubquery="1" supportAdvancedDrill="1" xr:uid="{09E1EAC5-4ED4-4CFE-A565-1C3520BC5D4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31944444" createdVersion="5" refreshedVersion="8" minRefreshableVersion="3" recordCount="0" supportSubquery="1" supportAdvancedDrill="1" xr:uid="{34612143-E068-4A3A-B813-703E01F61FD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32523145" createdVersion="5" refreshedVersion="8" minRefreshableVersion="3" recordCount="0" supportSubquery="1" supportAdvancedDrill="1" xr:uid="{27D95F23-9E0A-4675-9699-1896F0911C8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6733101853" createdVersion="5" refreshedVersion="8" minRefreshableVersion="3" recordCount="0" supportSubquery="1" supportAdvancedDrill="1" xr:uid="{1CAE8146-F9AC-4DF5-82C7-AAF1E4E3F305}">
  <cacheSource type="external" connectionId="3"/>
  <cacheFields count="4">
    <cacheField name="[Calendar_Table].[Date (Month)].[Date (Month)]" caption="Date (Month)" numFmtId="0" hierarchy="1" level="1">
      <sharedItems count="1">
        <s v="Dec"/>
      </sharedItems>
    </cacheField>
    <cacheField name="[Calenda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4"/>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H KUMAR YADAV" refreshedDate="46073.831625115738" createdVersion="3" refreshedVersion="8" minRefreshableVersion="3" recordCount="0" supportSubquery="1" supportAdvancedDrill="1" xr:uid="{34F81C99-BE1B-4DCC-8E45-79AC7D63837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682908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99951A-A7C5-433B-B925-5315264D5248}" name="PivotTable13" cacheId="1819" applyNumberFormats="0" applyBorderFormats="0" applyFontFormats="0" applyPatternFormats="0" applyAlignmentFormats="0" applyWidthHeightFormats="1" dataCaption="Values" tag="2798e224-7fa4-449b-956a-fc4439f07951" updatedVersion="8" minRefreshableVersion="3" subtotalHiddenItems="1" itemPrintTitles="1" createdVersion="5" indent="0" outline="1" outlineData="1" multipleFieldFilters="0" chartFormat="20">
  <location ref="A104:A10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29">
      <pivotArea outline="0" collapsedLevelsAreSubtotals="1" fieldPosition="0"/>
    </format>
  </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D6378E-F108-47E9-A5DD-A509D2C6D808}" name="PivotTable12" cacheId="1816" applyNumberFormats="0" applyBorderFormats="0" applyFontFormats="0" applyPatternFormats="0" applyAlignmentFormats="0" applyWidthHeightFormats="1" dataCaption="Values" tag="2798e224-7fa4-449b-956a-fc4439f07951" updatedVersion="8" minRefreshableVersion="3" subtotalHiddenItems="1" itemPrintTitles="1" createdVersion="5" indent="0" outline="1" outlineData="1" multipleFieldFilters="0" chartFormat="20">
  <location ref="A86:B9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630">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DBD1D8-A05D-4278-97B3-2ADE3C88B35B}" name="PivotTable11" cacheId="1813" applyNumberFormats="0" applyBorderFormats="0" applyFontFormats="0" applyPatternFormats="0" applyAlignmentFormats="0" applyWidthHeightFormats="1" dataCaption="Values" tag="2798e224-7fa4-449b-956a-fc4439f07951" updatedVersion="8" minRefreshableVersion="3" subtotalHiddenItems="1" itemPrintTitles="1" createdVersion="5" indent="0" outline="1" outlineData="1" multipleFieldFilters="0" chartFormat="15">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31">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675C7B-FE2B-4CE6-81FC-FD295A400007}" name="PivotTable9" cacheId="1810" applyNumberFormats="0" applyBorderFormats="0" applyFontFormats="0" applyPatternFormats="0" applyAlignmentFormats="0" applyWidthHeightFormats="1" dataCaption="Values" tag="2798e224-7fa4-449b-956a-fc4439f07951" updatedVersion="8" minRefreshableVersion="3" subtotalHiddenItems="1" itemPrintTitles="1" createdVersion="5" indent="0" outline="1" outlineData="1" multipleFieldFilters="0" chartFormat="9">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32">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FEFCE6-661E-428A-A0E4-B14158808883}" name="PivotTable8" cacheId="1807" applyNumberFormats="0" applyBorderFormats="0" applyFontFormats="0" applyPatternFormats="0" applyAlignmentFormats="0" applyWidthHeightFormats="1" dataCaption="Values" tag="2798e224-7fa4-449b-956a-fc4439f07951" updatedVersion="8" minRefreshableVersion="3" subtotalHiddenItems="1" itemPrintTitles="1" createdVersion="5" indent="0" outline="1" outlineData="1" multipleFieldFilters="0" chartFormat="4">
  <location ref="A56: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numFmtId="1"/>
  </dataFields>
  <formats count="1">
    <format dxfId="63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62BC18-FCE3-488E-B28C-527594B295A2}" name="PivotTable7" cacheId="1804" applyNumberFormats="0" applyBorderFormats="0" applyFontFormats="0" applyPatternFormats="0" applyAlignmentFormats="0" applyWidthHeightFormats="1" dataCaption="Values" tag="2798e224-7fa4-449b-956a-fc4439f07951" updatedVersion="8" minRefreshableVersion="3" subtotalHiddenItems="1" itemPrintTitles="1" createdVersion="5" indent="0" outline="1" outlineData="1" multipleFieldFilters="0" chartFormat="1">
  <location ref="A43:C4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637">
      <pivotArea outline="0" collapsedLevelsAreSubtotals="1" fieldPosition="0"/>
    </format>
    <format dxfId="636">
      <pivotArea collapsedLevelsAreSubtotals="1" fieldPosition="0">
        <references count="2">
          <reference field="4294967294" count="1" selected="0">
            <x v="0"/>
          </reference>
          <reference field="2" count="0"/>
        </references>
      </pivotArea>
    </format>
    <format dxfId="635">
      <pivotArea collapsedLevelsAreSubtotals="1" fieldPosition="0">
        <references count="2">
          <reference field="4294967294" count="1" selected="0">
            <x v="1"/>
          </reference>
          <reference field="2" count="0"/>
        </references>
      </pivotArea>
    </format>
    <format dxfId="63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2C029-52D4-4B94-8B87-0E3F13F09571}" name="PivotTable2" cacheId="1792" applyNumberFormats="0" applyBorderFormats="0" applyFontFormats="0" applyPatternFormats="0" applyAlignmentFormats="0" applyWidthHeightFormats="1" dataCaption="Values" tag="4cab3cbb-6c09-4f72-b4e1-c5032e23e8cf"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38">
      <pivotArea outline="0" collapsedLevelsAreSubtotals="1" fieldPosition="0"/>
    </format>
  </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E636FC-27D2-42BA-B7B5-E86A6162E96F}" name="PivotTable6" cacheId="1801" applyNumberFormats="0" applyBorderFormats="0" applyFontFormats="0" applyPatternFormats="0" applyAlignmentFormats="0" applyWidthHeightFormats="1" dataCaption="Values" tag="8a5dbb9c-82cc-4181-84e0-4c4c2d902870" updatedVersion="8" minRefreshableVersion="3" subtotalHiddenItems="1" itemPrintTitles="1" createdVersion="5" indent="0" outline="1" outlineData="1" multipleFieldFilters="0" chartFormat="29">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4">
    <format dxfId="642">
      <pivotArea collapsedLevelsAreSubtotals="1" fieldPosition="0">
        <references count="1">
          <reference field="0" count="1">
            <x v="0"/>
          </reference>
        </references>
      </pivotArea>
    </format>
    <format dxfId="641">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640">
      <pivotArea grandRow="1" outline="0" collapsedLevelsAreSubtotals="1" fieldPosition="0"/>
    </format>
    <format dxfId="639">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3BF3AC-6537-45D7-9849-79A93A8A5B1D}" name="PivotTable1" cacheId="1789" applyNumberFormats="0" applyBorderFormats="0" applyFontFormats="0" applyPatternFormats="0" applyAlignmentFormats="0" applyWidthHeightFormats="1" dataCaption="Values" tag="933b907c-1420-424b-9188-c717a4e064e8"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7BFD6F-A7E2-4C23-9CE1-15CAA1A9D51B}" name="PivotTable5" cacheId="1798" applyNumberFormats="0" applyBorderFormats="0" applyFontFormats="0" applyPatternFormats="0" applyAlignmentFormats="0" applyWidthHeightFormats="1" dataCaption="Values" tag="9490f95a-bb03-43f9-835b-3d128eea3bd3" updatedVersion="8" minRefreshableVersion="3" subtotalHiddenItems="1" itemPrintTitles="1" createdVersion="5" indent="0" outline="1" outlineData="1" multipleFieldFilters="0" chartFormat="24">
  <location ref="F4: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4">
    <format dxfId="646">
      <pivotArea collapsedLevelsAreSubtotals="1" fieldPosition="0">
        <references count="1">
          <reference field="0" count="1">
            <x v="0"/>
          </reference>
        </references>
      </pivotArea>
    </format>
    <format dxfId="645">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644">
      <pivotArea grandRow="1" outline="0" collapsedLevelsAreSubtotals="1" fieldPosition="0"/>
    </format>
    <format dxfId="643">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27D046-75D1-48F6-BC8F-8128740143FA}" name="PivotTable4" cacheId="1786" applyNumberFormats="0" applyBorderFormats="0" applyFontFormats="0" applyPatternFormats="0" applyAlignmentFormats="0" applyWidthHeightFormats="1" dataCaption="Values" tag="83803df9-5c95-4304-8aab-67790ca4294d" updatedVersion="8" minRefreshableVersion="3" subtotalHiddenItems="1" itemPrintTitles="1" createdVersion="5" indent="0" outline="1" outlineData="1" multipleFieldFilters="0" chartFormat="6">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FAF05C-8FE4-4CFB-A38F-7A59427107E1}" name="PivotTable3" cacheId="1795" applyNumberFormats="0" applyBorderFormats="0" applyFontFormats="0" applyPatternFormats="0" applyAlignmentFormats="0" applyWidthHeightFormats="1" dataCaption="Values" tag="a6c12255-1bae-443e-b9d3-68d9b95993f6"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47">
      <pivotArea outline="0" collapsedLevelsAreSubtotals="1" fieldPosition="0"/>
    </format>
  </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6181B06-5D1C-44EE-84DD-F53D31A6B763}"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2"/>
    <pivotTable tabId="1" name="PivotTable13"/>
  </pivotTables>
  <data>
    <olap pivotCacheId="36829081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2E16E9-3A73-4C5D-9637-620EB8E6C900}" sourceName="[Calendar_Table].[Date (Year)]">
  <pivotTables>
    <pivotTable tabId="1" name="PivotTable13"/>
    <pivotTable tabId="1" name="PivotTable1"/>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6829081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E4C14C3-2054-48E7-B406-5938595E5D21}" cache="Slicer_Date__Month" caption="Date (Month)" showCaption="0" level="1" style="My_Style" rowHeight="108000"/>
  <slicer name="Date (Year)" xr10:uid="{DB0F90ED-337D-41B6-8EBB-91C34EFC7B3D}" cache="Slicer_Date__Year" caption="Date (Year)" columnCount="2" showCaption="0" level="1" style="My_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08C0-A498-4EAE-BB7E-FCAF1E3B65BD}">
  <dimension ref="A3:J106"/>
  <sheetViews>
    <sheetView topLeftCell="A90" zoomScale="115" zoomScaleNormal="115" workbookViewId="0">
      <selection activeCell="A105" sqref="A105"/>
    </sheetView>
  </sheetViews>
  <sheetFormatPr defaultRowHeight="14.4" x14ac:dyDescent="0.3"/>
  <cols>
    <col min="1" max="1" width="17.88671875" customWidth="1"/>
    <col min="2" max="2" width="17.6640625" customWidth="1"/>
    <col min="3" max="3" width="29.109375" bestFit="1" customWidth="1"/>
    <col min="4" max="4" width="15" customWidth="1"/>
    <col min="6" max="6" width="12.5546875" bestFit="1" customWidth="1"/>
    <col min="7" max="7" width="25" bestFit="1" customWidth="1"/>
    <col min="9" max="9" width="12.5546875" bestFit="1" customWidth="1"/>
    <col min="10" max="10" width="32.44140625" bestFit="1" customWidth="1"/>
  </cols>
  <sheetData>
    <row r="3" spans="1:10" x14ac:dyDescent="0.3">
      <c r="A3" t="s">
        <v>1</v>
      </c>
      <c r="C3" t="s">
        <v>39</v>
      </c>
      <c r="F3" t="s">
        <v>38</v>
      </c>
      <c r="I3" t="s">
        <v>42</v>
      </c>
    </row>
    <row r="4" spans="1:10" x14ac:dyDescent="0.3">
      <c r="A4" t="s">
        <v>0</v>
      </c>
      <c r="C4" s="1" t="s">
        <v>4</v>
      </c>
      <c r="D4" t="s">
        <v>0</v>
      </c>
      <c r="F4" s="1" t="s">
        <v>4</v>
      </c>
      <c r="G4" t="s">
        <v>2</v>
      </c>
      <c r="I4" s="1" t="s">
        <v>4</v>
      </c>
      <c r="J4" t="s">
        <v>3</v>
      </c>
    </row>
    <row r="5" spans="1:10" x14ac:dyDescent="0.3">
      <c r="A5" s="13">
        <v>513</v>
      </c>
      <c r="C5" s="4" t="s">
        <v>6</v>
      </c>
      <c r="D5" s="13">
        <v>19</v>
      </c>
      <c r="F5" s="4" t="s">
        <v>6</v>
      </c>
      <c r="G5" s="2">
        <v>37.789473684210527</v>
      </c>
      <c r="I5" s="4" t="s">
        <v>6</v>
      </c>
      <c r="J5" s="2">
        <v>6.666666666666667</v>
      </c>
    </row>
    <row r="6" spans="1:10" x14ac:dyDescent="0.3">
      <c r="C6" s="4" t="s">
        <v>7</v>
      </c>
      <c r="D6" s="13">
        <v>14</v>
      </c>
      <c r="F6" s="4" t="s">
        <v>7</v>
      </c>
      <c r="G6" s="2">
        <v>38.214285714285715</v>
      </c>
      <c r="I6" s="4" t="s">
        <v>7</v>
      </c>
      <c r="J6" s="2">
        <v>3.5</v>
      </c>
    </row>
    <row r="7" spans="1:10" x14ac:dyDescent="0.3">
      <c r="C7" s="4" t="s">
        <v>8</v>
      </c>
      <c r="D7" s="13">
        <v>13</v>
      </c>
      <c r="F7" s="4" t="s">
        <v>8</v>
      </c>
      <c r="G7" s="2">
        <v>40.92307692307692</v>
      </c>
      <c r="I7" s="4" t="s">
        <v>8</v>
      </c>
      <c r="J7" s="2">
        <v>4.5</v>
      </c>
    </row>
    <row r="8" spans="1:10" x14ac:dyDescent="0.3">
      <c r="A8" t="s">
        <v>2</v>
      </c>
      <c r="C8" s="4" t="s">
        <v>9</v>
      </c>
      <c r="D8" s="13">
        <v>22</v>
      </c>
      <c r="F8" s="4" t="s">
        <v>9</v>
      </c>
      <c r="G8" s="2">
        <v>34.5</v>
      </c>
      <c r="I8" s="4" t="s">
        <v>9</v>
      </c>
      <c r="J8" s="2">
        <v>4.8</v>
      </c>
    </row>
    <row r="9" spans="1:10" x14ac:dyDescent="0.3">
      <c r="A9" s="2">
        <v>36.323586744639378</v>
      </c>
      <c r="C9" s="4" t="s">
        <v>10</v>
      </c>
      <c r="D9" s="13">
        <v>19</v>
      </c>
      <c r="F9" s="4" t="s">
        <v>10</v>
      </c>
      <c r="G9" s="2">
        <v>30.684210526315791</v>
      </c>
      <c r="I9" s="4" t="s">
        <v>10</v>
      </c>
      <c r="J9" s="2">
        <v>7.75</v>
      </c>
    </row>
    <row r="10" spans="1:10" x14ac:dyDescent="0.3">
      <c r="C10" s="4" t="s">
        <v>11</v>
      </c>
      <c r="D10" s="13">
        <v>15</v>
      </c>
      <c r="F10" s="4" t="s">
        <v>11</v>
      </c>
      <c r="G10" s="2">
        <v>37.666666666666664</v>
      </c>
      <c r="I10" s="4" t="s">
        <v>11</v>
      </c>
      <c r="J10" s="2">
        <v>6.2</v>
      </c>
    </row>
    <row r="11" spans="1:10" x14ac:dyDescent="0.3">
      <c r="A11" t="s">
        <v>3</v>
      </c>
      <c r="C11" s="4" t="s">
        <v>12</v>
      </c>
      <c r="D11" s="13">
        <v>12</v>
      </c>
      <c r="F11" s="4" t="s">
        <v>12</v>
      </c>
      <c r="G11" s="2">
        <v>36.083333333333336</v>
      </c>
      <c r="I11" s="4" t="s">
        <v>12</v>
      </c>
      <c r="J11" s="2">
        <v>3.75</v>
      </c>
    </row>
    <row r="12" spans="1:10" x14ac:dyDescent="0.3">
      <c r="A12" s="2">
        <v>4.9591836734693882</v>
      </c>
      <c r="C12" s="4" t="s">
        <v>13</v>
      </c>
      <c r="D12" s="13">
        <v>21</v>
      </c>
      <c r="F12" s="4" t="s">
        <v>13</v>
      </c>
      <c r="G12" s="2">
        <v>43.523809523809526</v>
      </c>
      <c r="I12" s="4" t="s">
        <v>13</v>
      </c>
      <c r="J12" s="2">
        <v>6.5</v>
      </c>
    </row>
    <row r="13" spans="1:10" x14ac:dyDescent="0.3">
      <c r="C13" s="4" t="s">
        <v>14</v>
      </c>
      <c r="D13" s="13">
        <v>12</v>
      </c>
      <c r="F13" s="4" t="s">
        <v>14</v>
      </c>
      <c r="G13" s="2">
        <v>29.5</v>
      </c>
      <c r="I13" s="4" t="s">
        <v>14</v>
      </c>
      <c r="J13" s="2">
        <v>3</v>
      </c>
    </row>
    <row r="14" spans="1:10" x14ac:dyDescent="0.3">
      <c r="C14" s="4" t="s">
        <v>15</v>
      </c>
      <c r="D14" s="13">
        <v>13</v>
      </c>
      <c r="F14" s="4" t="s">
        <v>15</v>
      </c>
      <c r="G14" s="2">
        <v>38.07692307692308</v>
      </c>
      <c r="I14" s="4" t="s">
        <v>15</v>
      </c>
      <c r="J14" s="2">
        <v>4.5</v>
      </c>
    </row>
    <row r="15" spans="1:10" x14ac:dyDescent="0.3">
      <c r="C15" s="4" t="s">
        <v>16</v>
      </c>
      <c r="D15" s="13">
        <v>13</v>
      </c>
      <c r="F15" s="4" t="s">
        <v>16</v>
      </c>
      <c r="G15" s="2">
        <v>35.846153846153847</v>
      </c>
      <c r="I15" s="4" t="s">
        <v>16</v>
      </c>
      <c r="J15" s="2">
        <v>6</v>
      </c>
    </row>
    <row r="16" spans="1:10" x14ac:dyDescent="0.3">
      <c r="C16" s="4" t="s">
        <v>17</v>
      </c>
      <c r="D16" s="13">
        <v>16</v>
      </c>
      <c r="F16" s="4" t="s">
        <v>17</v>
      </c>
      <c r="G16" s="2">
        <v>32.625</v>
      </c>
      <c r="I16" s="4" t="s">
        <v>17</v>
      </c>
      <c r="J16" s="2">
        <v>5.2</v>
      </c>
    </row>
    <row r="17" spans="3:10" x14ac:dyDescent="0.3">
      <c r="C17" s="4" t="s">
        <v>18</v>
      </c>
      <c r="D17" s="13">
        <v>20</v>
      </c>
      <c r="F17" s="4" t="s">
        <v>18</v>
      </c>
      <c r="G17" s="2">
        <v>39.200000000000003</v>
      </c>
      <c r="I17" s="4" t="s">
        <v>18</v>
      </c>
      <c r="J17" s="2">
        <v>4.4000000000000004</v>
      </c>
    </row>
    <row r="18" spans="3:10" x14ac:dyDescent="0.3">
      <c r="C18" s="4" t="s">
        <v>19</v>
      </c>
      <c r="D18" s="13">
        <v>25</v>
      </c>
      <c r="F18" s="4" t="s">
        <v>19</v>
      </c>
      <c r="G18" s="2">
        <v>35.28</v>
      </c>
      <c r="I18" s="4" t="s">
        <v>19</v>
      </c>
      <c r="J18" s="2">
        <v>3.4545454545454546</v>
      </c>
    </row>
    <row r="19" spans="3:10" x14ac:dyDescent="0.3">
      <c r="C19" s="4" t="s">
        <v>20</v>
      </c>
      <c r="D19" s="13">
        <v>20</v>
      </c>
      <c r="F19" s="4" t="s">
        <v>20</v>
      </c>
      <c r="G19" s="2">
        <v>32.549999999999997</v>
      </c>
      <c r="I19" s="4" t="s">
        <v>20</v>
      </c>
      <c r="J19" s="2">
        <v>4.4000000000000004</v>
      </c>
    </row>
    <row r="20" spans="3:10" x14ac:dyDescent="0.3">
      <c r="C20" s="4" t="s">
        <v>21</v>
      </c>
      <c r="D20" s="13">
        <v>14</v>
      </c>
      <c r="F20" s="4" t="s">
        <v>21</v>
      </c>
      <c r="G20" s="2">
        <v>35.642857142857146</v>
      </c>
      <c r="I20" s="4" t="s">
        <v>21</v>
      </c>
      <c r="J20" s="2">
        <v>5.833333333333333</v>
      </c>
    </row>
    <row r="21" spans="3:10" x14ac:dyDescent="0.3">
      <c r="C21" s="4" t="s">
        <v>22</v>
      </c>
      <c r="D21" s="13">
        <v>17</v>
      </c>
      <c r="F21" s="4" t="s">
        <v>22</v>
      </c>
      <c r="G21" s="2">
        <v>38.764705882352942</v>
      </c>
      <c r="I21" s="4" t="s">
        <v>22</v>
      </c>
      <c r="J21" s="2">
        <v>4.4444444444444446</v>
      </c>
    </row>
    <row r="22" spans="3:10" x14ac:dyDescent="0.3">
      <c r="C22" s="4" t="s">
        <v>23</v>
      </c>
      <c r="D22" s="13">
        <v>20</v>
      </c>
      <c r="F22" s="4" t="s">
        <v>23</v>
      </c>
      <c r="G22" s="2">
        <v>39.9</v>
      </c>
      <c r="I22" s="4" t="s">
        <v>23</v>
      </c>
      <c r="J22" s="2">
        <v>5.333333333333333</v>
      </c>
    </row>
    <row r="23" spans="3:10" x14ac:dyDescent="0.3">
      <c r="C23" s="4" t="s">
        <v>24</v>
      </c>
      <c r="D23" s="13">
        <v>10</v>
      </c>
      <c r="F23" s="4" t="s">
        <v>24</v>
      </c>
      <c r="G23" s="2">
        <v>41.6</v>
      </c>
      <c r="I23" s="4" t="s">
        <v>24</v>
      </c>
      <c r="J23" s="2">
        <v>5.333333333333333</v>
      </c>
    </row>
    <row r="24" spans="3:10" x14ac:dyDescent="0.3">
      <c r="C24" s="4" t="s">
        <v>25</v>
      </c>
      <c r="D24" s="13">
        <v>17</v>
      </c>
      <c r="F24" s="4" t="s">
        <v>25</v>
      </c>
      <c r="G24" s="2">
        <v>39.470588235294116</v>
      </c>
      <c r="I24" s="4" t="s">
        <v>25</v>
      </c>
      <c r="J24" s="2">
        <v>5.5714285714285712</v>
      </c>
    </row>
    <row r="25" spans="3:10" x14ac:dyDescent="0.3">
      <c r="C25" s="4" t="s">
        <v>26</v>
      </c>
      <c r="D25" s="13">
        <v>15</v>
      </c>
      <c r="F25" s="4" t="s">
        <v>26</v>
      </c>
      <c r="G25" s="2">
        <v>27.733333333333334</v>
      </c>
      <c r="I25" s="4" t="s">
        <v>26</v>
      </c>
      <c r="J25" s="2">
        <v>5</v>
      </c>
    </row>
    <row r="26" spans="3:10" x14ac:dyDescent="0.3">
      <c r="C26" s="4" t="s">
        <v>27</v>
      </c>
      <c r="D26" s="13">
        <v>16</v>
      </c>
      <c r="F26" s="4" t="s">
        <v>27</v>
      </c>
      <c r="G26" s="2">
        <v>36.875</v>
      </c>
      <c r="I26" s="4" t="s">
        <v>27</v>
      </c>
      <c r="J26" s="2">
        <v>6.4</v>
      </c>
    </row>
    <row r="27" spans="3:10" x14ac:dyDescent="0.3">
      <c r="C27" s="4" t="s">
        <v>28</v>
      </c>
      <c r="D27" s="13">
        <v>18</v>
      </c>
      <c r="F27" s="4" t="s">
        <v>28</v>
      </c>
      <c r="G27" s="2">
        <v>40.333333333333336</v>
      </c>
      <c r="I27" s="4" t="s">
        <v>28</v>
      </c>
      <c r="J27" s="2">
        <v>5.333333333333333</v>
      </c>
    </row>
    <row r="28" spans="3:10" x14ac:dyDescent="0.3">
      <c r="C28" s="4" t="s">
        <v>29</v>
      </c>
      <c r="D28" s="13">
        <v>16</v>
      </c>
      <c r="F28" s="4" t="s">
        <v>29</v>
      </c>
      <c r="G28" s="2">
        <v>36.5</v>
      </c>
      <c r="I28" s="4" t="s">
        <v>29</v>
      </c>
      <c r="J28" s="2">
        <v>3.75</v>
      </c>
    </row>
    <row r="29" spans="3:10" x14ac:dyDescent="0.3">
      <c r="C29" s="4" t="s">
        <v>30</v>
      </c>
      <c r="D29" s="13">
        <v>15</v>
      </c>
      <c r="F29" s="4" t="s">
        <v>30</v>
      </c>
      <c r="G29" s="2">
        <v>32.866666666666667</v>
      </c>
      <c r="I29" s="4" t="s">
        <v>30</v>
      </c>
      <c r="J29" s="2">
        <v>6.333333333333333</v>
      </c>
    </row>
    <row r="30" spans="3:10" x14ac:dyDescent="0.3">
      <c r="C30" s="4" t="s">
        <v>31</v>
      </c>
      <c r="D30" s="13">
        <v>14</v>
      </c>
      <c r="F30" s="4" t="s">
        <v>31</v>
      </c>
      <c r="G30" s="2">
        <v>36.642857142857146</v>
      </c>
      <c r="I30" s="4" t="s">
        <v>31</v>
      </c>
      <c r="J30" s="2">
        <v>10</v>
      </c>
    </row>
    <row r="31" spans="3:10" x14ac:dyDescent="0.3">
      <c r="C31" s="4" t="s">
        <v>32</v>
      </c>
      <c r="D31" s="13">
        <v>16</v>
      </c>
      <c r="F31" s="4" t="s">
        <v>32</v>
      </c>
      <c r="G31" s="2">
        <v>36.5625</v>
      </c>
      <c r="I31" s="4" t="s">
        <v>32</v>
      </c>
      <c r="J31" s="2">
        <v>5</v>
      </c>
    </row>
    <row r="32" spans="3:10" x14ac:dyDescent="0.3">
      <c r="C32" s="4" t="s">
        <v>33</v>
      </c>
      <c r="D32" s="13">
        <v>20</v>
      </c>
      <c r="F32" s="4" t="s">
        <v>33</v>
      </c>
      <c r="G32" s="2">
        <v>32.15</v>
      </c>
      <c r="I32" s="4" t="s">
        <v>33</v>
      </c>
      <c r="J32" s="2">
        <v>5.333333333333333</v>
      </c>
    </row>
    <row r="33" spans="1:10" x14ac:dyDescent="0.3">
      <c r="C33" s="4" t="s">
        <v>34</v>
      </c>
      <c r="D33" s="13">
        <v>19</v>
      </c>
      <c r="F33" s="4" t="s">
        <v>34</v>
      </c>
      <c r="G33" s="2">
        <v>38.368421052631582</v>
      </c>
      <c r="I33" s="4" t="s">
        <v>34</v>
      </c>
      <c r="J33" s="2">
        <v>4.8</v>
      </c>
    </row>
    <row r="34" spans="1:10" x14ac:dyDescent="0.3">
      <c r="C34" s="4" t="s">
        <v>35</v>
      </c>
      <c r="D34" s="13">
        <v>14</v>
      </c>
      <c r="F34" s="4" t="s">
        <v>35</v>
      </c>
      <c r="G34" s="2">
        <v>33.071428571428569</v>
      </c>
      <c r="I34" s="4" t="s">
        <v>35</v>
      </c>
      <c r="J34" s="2">
        <v>5</v>
      </c>
    </row>
    <row r="35" spans="1:10" x14ac:dyDescent="0.3">
      <c r="C35" s="4" t="s">
        <v>36</v>
      </c>
      <c r="D35" s="13">
        <v>18</v>
      </c>
      <c r="F35" s="4" t="s">
        <v>36</v>
      </c>
      <c r="G35" s="2">
        <v>36.444444444444443</v>
      </c>
      <c r="I35" s="4" t="s">
        <v>36</v>
      </c>
      <c r="J35" s="2">
        <v>1.4</v>
      </c>
    </row>
    <row r="36" spans="1:10" x14ac:dyDescent="0.3">
      <c r="C36" s="4" t="s">
        <v>5</v>
      </c>
      <c r="D36" s="13">
        <v>513</v>
      </c>
      <c r="F36" s="4" t="s">
        <v>5</v>
      </c>
      <c r="G36" s="2">
        <v>36.323586744639378</v>
      </c>
      <c r="I36" s="4" t="s">
        <v>5</v>
      </c>
      <c r="J36" s="2">
        <v>4.9591836734693882</v>
      </c>
    </row>
    <row r="43" spans="1:10" x14ac:dyDescent="0.3">
      <c r="A43" s="1" t="s">
        <v>4</v>
      </c>
      <c r="B43" t="s">
        <v>43</v>
      </c>
      <c r="C43" t="s">
        <v>46</v>
      </c>
    </row>
    <row r="44" spans="1:10" x14ac:dyDescent="0.3">
      <c r="A44" s="4" t="s">
        <v>44</v>
      </c>
      <c r="B44" s="7">
        <v>269</v>
      </c>
      <c r="C44" s="8">
        <v>0.52436647173489281</v>
      </c>
    </row>
    <row r="45" spans="1:10" x14ac:dyDescent="0.3">
      <c r="A45" s="4" t="s">
        <v>45</v>
      </c>
      <c r="B45" s="7">
        <v>244</v>
      </c>
      <c r="C45" s="8">
        <v>0.47563352826510719</v>
      </c>
    </row>
    <row r="46" spans="1:10" x14ac:dyDescent="0.3">
      <c r="A46" s="4" t="s">
        <v>5</v>
      </c>
      <c r="B46" s="2">
        <v>513</v>
      </c>
      <c r="C46" s="8">
        <v>1</v>
      </c>
    </row>
    <row r="49" spans="1:4" x14ac:dyDescent="0.3">
      <c r="A49" s="10" t="s">
        <v>47</v>
      </c>
      <c r="B49" s="10" t="s">
        <v>49</v>
      </c>
      <c r="C49" s="10" t="s">
        <v>48</v>
      </c>
      <c r="D49" s="9"/>
    </row>
    <row r="50" spans="1:4" x14ac:dyDescent="0.3">
      <c r="A50" s="11" t="str">
        <f t="shared" ref="A50:C51" si="0">A44</f>
        <v>Admitted</v>
      </c>
      <c r="B50" s="11">
        <f t="shared" si="0"/>
        <v>269</v>
      </c>
      <c r="C50" s="12">
        <f t="shared" si="0"/>
        <v>0.52436647173489281</v>
      </c>
      <c r="D50" s="5"/>
    </row>
    <row r="51" spans="1:4" x14ac:dyDescent="0.3">
      <c r="A51" s="11" t="str">
        <f t="shared" si="0"/>
        <v>Not Admitted</v>
      </c>
      <c r="B51" s="11">
        <f t="shared" si="0"/>
        <v>244</v>
      </c>
      <c r="C51" s="12">
        <f t="shared" si="0"/>
        <v>0.47563352826510719</v>
      </c>
      <c r="D51" s="5"/>
    </row>
    <row r="55" spans="1:4" x14ac:dyDescent="0.3">
      <c r="A55" t="s">
        <v>58</v>
      </c>
    </row>
    <row r="56" spans="1:4" x14ac:dyDescent="0.3">
      <c r="A56" s="1" t="s">
        <v>4</v>
      </c>
      <c r="B56" t="s">
        <v>57</v>
      </c>
    </row>
    <row r="57" spans="1:4" x14ac:dyDescent="0.3">
      <c r="A57" s="4" t="s">
        <v>50</v>
      </c>
      <c r="B57" s="7">
        <v>22</v>
      </c>
    </row>
    <row r="58" spans="1:4" x14ac:dyDescent="0.3">
      <c r="A58" s="4" t="s">
        <v>51</v>
      </c>
      <c r="B58" s="7">
        <v>83</v>
      </c>
    </row>
    <row r="59" spans="1:4" x14ac:dyDescent="0.3">
      <c r="A59" s="4" t="s">
        <v>52</v>
      </c>
      <c r="B59" s="7">
        <v>93</v>
      </c>
    </row>
    <row r="60" spans="1:4" x14ac:dyDescent="0.3">
      <c r="A60" s="4" t="s">
        <v>53</v>
      </c>
      <c r="B60" s="7">
        <v>94</v>
      </c>
    </row>
    <row r="61" spans="1:4" x14ac:dyDescent="0.3">
      <c r="A61" s="4" t="s">
        <v>54</v>
      </c>
      <c r="B61" s="7">
        <v>96</v>
      </c>
    </row>
    <row r="62" spans="1:4" x14ac:dyDescent="0.3">
      <c r="A62" s="4" t="s">
        <v>55</v>
      </c>
      <c r="B62" s="7">
        <v>68</v>
      </c>
    </row>
    <row r="63" spans="1:4" x14ac:dyDescent="0.3">
      <c r="A63" s="4" t="s">
        <v>56</v>
      </c>
      <c r="B63" s="7">
        <v>57</v>
      </c>
    </row>
    <row r="64" spans="1:4" x14ac:dyDescent="0.3">
      <c r="A64" s="4" t="s">
        <v>5</v>
      </c>
      <c r="B64" s="7">
        <v>513</v>
      </c>
    </row>
    <row r="67" spans="1:2" x14ac:dyDescent="0.3">
      <c r="A67" s="4" t="s">
        <v>62</v>
      </c>
    </row>
    <row r="68" spans="1:2" x14ac:dyDescent="0.3">
      <c r="A68" s="1" t="s">
        <v>4</v>
      </c>
      <c r="B68" t="s">
        <v>61</v>
      </c>
    </row>
    <row r="69" spans="1:2" x14ac:dyDescent="0.3">
      <c r="A69" s="4" t="s">
        <v>60</v>
      </c>
      <c r="B69" s="7">
        <v>316</v>
      </c>
    </row>
    <row r="70" spans="1:2" x14ac:dyDescent="0.3">
      <c r="A70" s="4" t="s">
        <v>59</v>
      </c>
      <c r="B70" s="7">
        <v>197</v>
      </c>
    </row>
    <row r="71" spans="1:2" x14ac:dyDescent="0.3">
      <c r="A71" s="4" t="s">
        <v>5</v>
      </c>
      <c r="B71" s="7">
        <v>513</v>
      </c>
    </row>
    <row r="77" spans="1:2" x14ac:dyDescent="0.3">
      <c r="A77" t="s">
        <v>66</v>
      </c>
    </row>
    <row r="78" spans="1:2" x14ac:dyDescent="0.3">
      <c r="A78" s="1" t="s">
        <v>4</v>
      </c>
      <c r="B78" t="s">
        <v>65</v>
      </c>
    </row>
    <row r="79" spans="1:2" x14ac:dyDescent="0.3">
      <c r="A79" s="4" t="s">
        <v>63</v>
      </c>
      <c r="B79" s="7">
        <v>241</v>
      </c>
    </row>
    <row r="80" spans="1:2" x14ac:dyDescent="0.3">
      <c r="A80" s="4" t="s">
        <v>64</v>
      </c>
      <c r="B80" s="7">
        <v>272</v>
      </c>
    </row>
    <row r="81" spans="1:2" x14ac:dyDescent="0.3">
      <c r="A81" s="4" t="s">
        <v>5</v>
      </c>
      <c r="B81" s="7">
        <v>513</v>
      </c>
    </row>
    <row r="86" spans="1:2" x14ac:dyDescent="0.3">
      <c r="A86" s="1" t="s">
        <v>4</v>
      </c>
      <c r="B86" t="s">
        <v>75</v>
      </c>
    </row>
    <row r="87" spans="1:2" x14ac:dyDescent="0.3">
      <c r="A87" s="4" t="s">
        <v>68</v>
      </c>
      <c r="B87" s="7">
        <v>4</v>
      </c>
    </row>
    <row r="88" spans="1:2" x14ac:dyDescent="0.3">
      <c r="A88" s="4" t="s">
        <v>74</v>
      </c>
      <c r="B88" s="7">
        <v>5</v>
      </c>
    </row>
    <row r="89" spans="1:2" x14ac:dyDescent="0.3">
      <c r="A89" s="4" t="s">
        <v>70</v>
      </c>
      <c r="B89" s="7">
        <v>9</v>
      </c>
    </row>
    <row r="90" spans="1:2" x14ac:dyDescent="0.3">
      <c r="A90" s="4" t="s">
        <v>73</v>
      </c>
      <c r="B90" s="7">
        <v>14</v>
      </c>
    </row>
    <row r="91" spans="1:2" x14ac:dyDescent="0.3">
      <c r="A91" s="4" t="s">
        <v>67</v>
      </c>
      <c r="B91" s="7">
        <v>14</v>
      </c>
    </row>
    <row r="92" spans="1:2" x14ac:dyDescent="0.3">
      <c r="A92" s="4" t="s">
        <v>72</v>
      </c>
      <c r="B92" s="7">
        <v>65</v>
      </c>
    </row>
    <row r="93" spans="1:2" x14ac:dyDescent="0.3">
      <c r="A93" s="4" t="s">
        <v>69</v>
      </c>
      <c r="B93" s="7">
        <v>103</v>
      </c>
    </row>
    <row r="94" spans="1:2" x14ac:dyDescent="0.3">
      <c r="A94" s="4" t="s">
        <v>71</v>
      </c>
      <c r="B94" s="7">
        <v>299</v>
      </c>
    </row>
    <row r="95" spans="1:2" x14ac:dyDescent="0.3">
      <c r="A95" s="4" t="s">
        <v>5</v>
      </c>
      <c r="B95" s="7">
        <v>513</v>
      </c>
    </row>
    <row r="104" spans="1:1" x14ac:dyDescent="0.3">
      <c r="A104" s="1" t="s">
        <v>4</v>
      </c>
    </row>
    <row r="105" spans="1:1" x14ac:dyDescent="0.3">
      <c r="A105" s="4" t="s">
        <v>76</v>
      </c>
    </row>
    <row r="106" spans="1:1" x14ac:dyDescent="0.3">
      <c r="A106"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DCB33-F07B-445F-BE71-C5A1EA2C3F20}">
  <dimension ref="A1:K16"/>
  <sheetViews>
    <sheetView tabSelected="1" zoomScale="190" zoomScaleNormal="190" workbookViewId="0">
      <selection sqref="A1:A2"/>
    </sheetView>
  </sheetViews>
  <sheetFormatPr defaultRowHeight="14.4" x14ac:dyDescent="0.3"/>
  <cols>
    <col min="4" max="4" width="9.5546875" customWidth="1"/>
  </cols>
  <sheetData>
    <row r="1" spans="1:11" x14ac:dyDescent="0.3">
      <c r="A1" s="3"/>
      <c r="B1" s="3"/>
      <c r="C1" s="3"/>
      <c r="D1" s="3"/>
      <c r="E1" s="3"/>
      <c r="F1" s="3"/>
      <c r="G1" s="3"/>
      <c r="H1" s="3"/>
      <c r="I1" s="3"/>
      <c r="J1" s="3"/>
      <c r="K1" s="3"/>
    </row>
    <row r="2" spans="1:11" x14ac:dyDescent="0.3">
      <c r="A2" s="3"/>
      <c r="B2" s="3"/>
      <c r="C2" s="3"/>
      <c r="D2" s="3"/>
      <c r="E2" s="3"/>
      <c r="F2" s="3"/>
      <c r="G2" s="3"/>
      <c r="H2" s="3"/>
      <c r="I2" s="3"/>
      <c r="J2" s="3"/>
      <c r="K2" s="3"/>
    </row>
    <row r="3" spans="1:11" x14ac:dyDescent="0.3">
      <c r="A3" s="3"/>
      <c r="B3" s="3"/>
      <c r="C3" s="3"/>
      <c r="D3" s="3"/>
      <c r="E3" s="3"/>
      <c r="F3" s="3"/>
      <c r="G3" s="3"/>
      <c r="H3" s="3"/>
      <c r="I3" s="3"/>
      <c r="J3" s="3"/>
      <c r="K3" s="3"/>
    </row>
    <row r="4" spans="1:11" x14ac:dyDescent="0.3">
      <c r="A4" s="3"/>
      <c r="B4" s="3"/>
      <c r="C4" s="3"/>
      <c r="D4" s="3"/>
      <c r="E4" s="3"/>
      <c r="F4" s="3"/>
      <c r="G4" s="3"/>
      <c r="H4" s="3"/>
      <c r="I4" s="3"/>
      <c r="J4" s="3"/>
      <c r="K4" s="3"/>
    </row>
    <row r="5" spans="1:11" x14ac:dyDescent="0.3">
      <c r="A5" s="3"/>
      <c r="B5" s="3"/>
      <c r="C5" s="3"/>
      <c r="D5" s="3"/>
      <c r="E5" s="3"/>
      <c r="F5" s="3"/>
      <c r="G5" s="3"/>
      <c r="H5" s="3"/>
      <c r="I5" s="3"/>
      <c r="J5" s="3"/>
      <c r="K5" s="3"/>
    </row>
    <row r="6" spans="1:11" x14ac:dyDescent="0.3">
      <c r="A6" s="3"/>
      <c r="B6" s="3"/>
      <c r="C6" s="3"/>
      <c r="D6" s="3"/>
      <c r="E6" s="3"/>
      <c r="F6" s="3"/>
      <c r="G6" s="3"/>
      <c r="H6" s="3"/>
      <c r="I6" s="3"/>
      <c r="J6" s="3"/>
      <c r="K6" s="3"/>
    </row>
    <row r="7" spans="1:11" x14ac:dyDescent="0.3">
      <c r="A7" s="3"/>
      <c r="B7" s="3"/>
      <c r="C7" s="3"/>
      <c r="D7" s="3"/>
      <c r="E7" s="3"/>
      <c r="F7" s="3"/>
      <c r="G7" s="3"/>
      <c r="H7" s="3"/>
      <c r="I7" s="3"/>
      <c r="J7" s="3"/>
      <c r="K7" s="3"/>
    </row>
    <row r="8" spans="1:11" x14ac:dyDescent="0.3">
      <c r="A8" s="3"/>
      <c r="B8" s="3"/>
      <c r="C8" s="3"/>
      <c r="D8" s="3"/>
      <c r="E8" s="3"/>
      <c r="F8" s="3"/>
      <c r="G8" s="3"/>
      <c r="H8" s="3"/>
      <c r="I8" s="3"/>
      <c r="J8" s="3"/>
      <c r="K8" s="3"/>
    </row>
    <row r="9" spans="1:11" x14ac:dyDescent="0.3">
      <c r="A9" s="3"/>
      <c r="B9" s="3"/>
      <c r="C9" s="3"/>
      <c r="D9" s="3"/>
      <c r="E9" s="3"/>
      <c r="F9" s="3"/>
      <c r="G9" s="3"/>
      <c r="H9" s="3"/>
      <c r="I9" s="3"/>
      <c r="J9" s="3"/>
      <c r="K9" s="3"/>
    </row>
    <row r="10" spans="1:11" x14ac:dyDescent="0.3">
      <c r="A10" s="3"/>
      <c r="B10" s="3"/>
      <c r="C10" s="3"/>
      <c r="D10" s="3"/>
      <c r="E10" s="3"/>
      <c r="F10" s="3"/>
      <c r="G10" s="3"/>
      <c r="H10" s="3"/>
      <c r="I10" s="3"/>
      <c r="J10" s="3"/>
      <c r="K10" s="3"/>
    </row>
    <row r="11" spans="1:11" x14ac:dyDescent="0.3">
      <c r="A11" s="3"/>
      <c r="B11" s="3"/>
      <c r="C11" s="3"/>
      <c r="D11" s="3"/>
      <c r="E11" s="3"/>
      <c r="F11" s="3"/>
      <c r="G11" s="3"/>
      <c r="H11" s="3"/>
      <c r="I11" s="3"/>
      <c r="J11" s="3"/>
      <c r="K11" s="3"/>
    </row>
    <row r="12" spans="1:11" x14ac:dyDescent="0.3">
      <c r="A12" s="3"/>
      <c r="B12" s="3"/>
      <c r="C12" s="3"/>
      <c r="D12" s="3"/>
      <c r="E12" s="3"/>
      <c r="F12" s="3"/>
      <c r="G12" s="3"/>
      <c r="H12" s="3"/>
      <c r="I12" s="3"/>
      <c r="J12" s="3"/>
      <c r="K12" s="3"/>
    </row>
    <row r="13" spans="1:11" x14ac:dyDescent="0.3">
      <c r="A13" s="3"/>
      <c r="B13" s="3"/>
      <c r="C13" s="3"/>
      <c r="D13" s="3"/>
      <c r="E13" s="3"/>
      <c r="F13" s="3"/>
      <c r="G13" s="3"/>
      <c r="H13" s="3"/>
      <c r="I13" s="3"/>
      <c r="J13" s="3"/>
      <c r="K13" s="3"/>
    </row>
    <row r="14" spans="1:11" x14ac:dyDescent="0.3">
      <c r="A14" s="3"/>
      <c r="B14" s="3"/>
      <c r="C14" s="3"/>
      <c r="D14" s="3"/>
      <c r="E14" s="3"/>
      <c r="F14" s="3"/>
      <c r="G14" s="3"/>
      <c r="H14" s="3"/>
      <c r="I14" s="3"/>
      <c r="J14" s="3"/>
      <c r="K14" s="3"/>
    </row>
    <row r="15" spans="1:11" x14ac:dyDescent="0.3">
      <c r="A15" s="3"/>
      <c r="B15" s="3"/>
      <c r="C15" s="3"/>
      <c r="D15" s="3"/>
      <c r="E15" s="3"/>
      <c r="F15" s="3"/>
      <c r="G15" s="3"/>
      <c r="H15" s="3"/>
      <c r="I15" s="3"/>
      <c r="J15" s="3"/>
      <c r="K15" s="3"/>
    </row>
    <row r="16" spans="1:11" x14ac:dyDescent="0.3">
      <c r="A16" s="3"/>
      <c r="B16" s="3"/>
      <c r="C16" s="3"/>
      <c r="D16" s="3"/>
      <c r="E16" s="3"/>
      <c r="F16" s="3"/>
      <c r="G16" s="3"/>
      <c r="H16" s="3"/>
      <c r="I16" s="3"/>
      <c r="J16" s="3"/>
      <c r="K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4E5D-DE63-4227-BCD9-A1EDDC149A3E}">
  <dimension ref="A1:N25"/>
  <sheetViews>
    <sheetView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ht="18" x14ac:dyDescent="0.3">
      <c r="A22" s="5"/>
      <c r="B22" s="6" t="s">
        <v>37</v>
      </c>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row r="25" spans="1:14" x14ac:dyDescent="0.3">
      <c r="A25" s="5"/>
      <c r="B25" s="5"/>
      <c r="C25" s="5"/>
      <c r="D25" s="5"/>
      <c r="E25" s="5"/>
      <c r="F25" s="5"/>
      <c r="G25" s="5"/>
      <c r="H25" s="5"/>
      <c r="I25" s="5"/>
      <c r="J25" s="5"/>
      <c r="K25" s="5"/>
      <c r="L25" s="5"/>
      <c r="M25" s="5"/>
      <c r="N2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FF7A-4A21-4F74-8B54-BAFE515F4044}">
  <dimension ref="A1:I15"/>
  <sheetViews>
    <sheetView zoomScale="175" zoomScaleNormal="175" workbookViewId="0">
      <selection activeCell="A15" sqref="A15"/>
    </sheetView>
  </sheetViews>
  <sheetFormatPr defaultRowHeight="14.4" x14ac:dyDescent="0.3"/>
  <sheetData>
    <row r="1" spans="1:9" x14ac:dyDescent="0.3">
      <c r="A1" s="5"/>
      <c r="B1" s="5"/>
      <c r="C1" s="5"/>
      <c r="D1" s="5"/>
      <c r="E1" s="5"/>
      <c r="F1" s="5"/>
      <c r="G1" s="5"/>
      <c r="H1" s="5"/>
      <c r="I1" s="5"/>
    </row>
    <row r="2" spans="1:9" x14ac:dyDescent="0.3">
      <c r="A2" s="5"/>
      <c r="B2" s="5"/>
      <c r="C2" s="5"/>
      <c r="D2" s="5"/>
      <c r="E2" s="5"/>
      <c r="F2" s="5"/>
      <c r="G2" s="5"/>
      <c r="H2" s="5"/>
      <c r="I2" s="5"/>
    </row>
    <row r="3" spans="1:9" x14ac:dyDescent="0.3">
      <c r="A3" s="5"/>
      <c r="B3" s="5"/>
      <c r="C3" s="5"/>
      <c r="D3" s="5"/>
      <c r="E3" s="5"/>
      <c r="F3" s="5"/>
      <c r="G3" s="5"/>
      <c r="H3" s="5"/>
      <c r="I3" s="5"/>
    </row>
    <row r="4" spans="1:9" x14ac:dyDescent="0.3">
      <c r="A4" s="5"/>
      <c r="B4" s="5"/>
      <c r="C4" s="5"/>
      <c r="D4" s="5"/>
      <c r="E4" s="5"/>
      <c r="F4" s="5"/>
      <c r="G4" s="5"/>
      <c r="H4" s="5"/>
      <c r="I4" s="5"/>
    </row>
    <row r="5" spans="1:9" x14ac:dyDescent="0.3">
      <c r="A5" s="5"/>
      <c r="B5" s="5"/>
      <c r="C5" s="5"/>
      <c r="D5" s="5"/>
      <c r="E5" s="5"/>
      <c r="F5" s="5"/>
      <c r="G5" s="5"/>
      <c r="H5" s="5"/>
      <c r="I5" s="5"/>
    </row>
    <row r="6" spans="1:9" x14ac:dyDescent="0.3">
      <c r="A6" s="5"/>
      <c r="B6" s="5"/>
      <c r="C6" s="5"/>
      <c r="D6" s="5"/>
      <c r="E6" s="5"/>
      <c r="F6" s="5"/>
      <c r="G6" s="5"/>
      <c r="H6" s="5"/>
      <c r="I6" s="5"/>
    </row>
    <row r="7" spans="1:9" x14ac:dyDescent="0.3">
      <c r="A7" s="5"/>
      <c r="B7" s="5"/>
      <c r="C7" s="5"/>
      <c r="D7" s="5"/>
      <c r="E7" s="5"/>
      <c r="F7" s="5"/>
      <c r="G7" s="5"/>
      <c r="H7" s="5"/>
      <c r="I7" s="5"/>
    </row>
    <row r="8" spans="1:9" x14ac:dyDescent="0.3">
      <c r="A8" s="5"/>
      <c r="B8" s="5"/>
      <c r="C8" s="5"/>
      <c r="D8" s="5"/>
      <c r="E8" s="5"/>
      <c r="F8" s="5"/>
      <c r="G8" s="5"/>
      <c r="H8" s="5"/>
      <c r="I8" s="5"/>
    </row>
    <row r="9" spans="1:9" x14ac:dyDescent="0.3">
      <c r="A9" s="5"/>
      <c r="B9" s="5"/>
      <c r="C9" s="5"/>
      <c r="D9" s="5"/>
      <c r="E9" s="5"/>
      <c r="F9" s="5"/>
      <c r="G9" s="5"/>
      <c r="H9" s="5"/>
      <c r="I9" s="5"/>
    </row>
    <row r="10" spans="1:9" x14ac:dyDescent="0.3">
      <c r="A10" s="5"/>
      <c r="B10" s="5"/>
      <c r="C10" s="5"/>
      <c r="D10" s="5"/>
      <c r="E10" s="5"/>
      <c r="F10" s="5"/>
      <c r="G10" s="5"/>
      <c r="H10" s="5"/>
      <c r="I10" s="5"/>
    </row>
    <row r="11" spans="1:9" x14ac:dyDescent="0.3">
      <c r="A11" s="5"/>
      <c r="B11" s="5"/>
      <c r="C11" s="5"/>
      <c r="D11" s="5"/>
      <c r="E11" s="5"/>
      <c r="F11" s="5"/>
      <c r="G11" s="5"/>
      <c r="H11" s="5"/>
      <c r="I11" s="5"/>
    </row>
    <row r="12" spans="1:9" x14ac:dyDescent="0.3">
      <c r="A12" s="5"/>
      <c r="B12" s="5"/>
      <c r="C12" s="5"/>
      <c r="D12" s="5"/>
      <c r="E12" s="5"/>
      <c r="F12" s="5"/>
      <c r="G12" s="5"/>
      <c r="H12" s="5"/>
      <c r="I12" s="5"/>
    </row>
    <row r="13" spans="1:9" x14ac:dyDescent="0.3">
      <c r="A13" s="5"/>
      <c r="B13" s="5"/>
      <c r="C13" s="5"/>
      <c r="D13" s="5"/>
      <c r="E13" s="5"/>
      <c r="F13" s="5"/>
      <c r="G13" s="5"/>
      <c r="H13" s="5"/>
      <c r="I13" s="5"/>
    </row>
    <row r="14" spans="1:9" x14ac:dyDescent="0.3">
      <c r="A14" s="5"/>
      <c r="B14" s="5"/>
      <c r="C14" s="5"/>
      <c r="D14" s="5"/>
      <c r="E14" s="5"/>
      <c r="F14" s="5"/>
      <c r="G14" s="5"/>
      <c r="H14" s="5"/>
      <c r="I14" s="5"/>
    </row>
    <row r="15" spans="1:9" x14ac:dyDescent="0.3">
      <c r="A15" s="14" t="s">
        <v>40</v>
      </c>
      <c r="B15" s="5"/>
      <c r="C15" s="5"/>
      <c r="D15" s="5"/>
      <c r="E15" s="5"/>
      <c r="F15" s="5"/>
      <c r="G15" s="5"/>
      <c r="H15" s="5"/>
      <c r="I1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D2B5-58ED-4112-8928-1E99AEF8EAD4}">
  <dimension ref="A1:I15"/>
  <sheetViews>
    <sheetView zoomScale="175" zoomScaleNormal="175" workbookViewId="0">
      <selection activeCell="A15" sqref="A15"/>
    </sheetView>
  </sheetViews>
  <sheetFormatPr defaultRowHeight="14.4" x14ac:dyDescent="0.3"/>
  <sheetData>
    <row r="1" spans="1:9" x14ac:dyDescent="0.3">
      <c r="A1" s="5"/>
      <c r="B1" s="5"/>
      <c r="C1" s="5"/>
      <c r="D1" s="5"/>
      <c r="E1" s="5"/>
      <c r="F1" s="5"/>
      <c r="G1" s="5"/>
      <c r="H1" s="5"/>
      <c r="I1" s="5"/>
    </row>
    <row r="2" spans="1:9" x14ac:dyDescent="0.3">
      <c r="A2" s="5"/>
      <c r="B2" s="5"/>
      <c r="C2" s="5"/>
      <c r="D2" s="5"/>
      <c r="E2" s="5"/>
      <c r="F2" s="5"/>
      <c r="G2" s="5"/>
      <c r="H2" s="5"/>
      <c r="I2" s="5"/>
    </row>
    <row r="3" spans="1:9" x14ac:dyDescent="0.3">
      <c r="A3" s="5"/>
      <c r="B3" s="5"/>
      <c r="C3" s="5"/>
      <c r="D3" s="5"/>
      <c r="E3" s="5"/>
      <c r="F3" s="5"/>
      <c r="G3" s="5"/>
      <c r="H3" s="5"/>
      <c r="I3" s="5"/>
    </row>
    <row r="4" spans="1:9" x14ac:dyDescent="0.3">
      <c r="A4" s="5"/>
      <c r="B4" s="5"/>
      <c r="C4" s="5"/>
      <c r="D4" s="5"/>
      <c r="E4" s="5"/>
      <c r="F4" s="5"/>
      <c r="G4" s="5"/>
      <c r="H4" s="5"/>
      <c r="I4" s="5"/>
    </row>
    <row r="5" spans="1:9" x14ac:dyDescent="0.3">
      <c r="A5" s="5"/>
      <c r="B5" s="5"/>
      <c r="C5" s="5"/>
      <c r="D5" s="5"/>
      <c r="E5" s="5"/>
      <c r="F5" s="5"/>
      <c r="G5" s="5"/>
      <c r="H5" s="5"/>
      <c r="I5" s="5"/>
    </row>
    <row r="6" spans="1:9" x14ac:dyDescent="0.3">
      <c r="A6" s="5"/>
      <c r="B6" s="5"/>
      <c r="C6" s="5"/>
      <c r="D6" s="5"/>
      <c r="E6" s="5"/>
      <c r="F6" s="5"/>
      <c r="G6" s="5"/>
      <c r="H6" s="5"/>
      <c r="I6" s="5"/>
    </row>
    <row r="7" spans="1:9" x14ac:dyDescent="0.3">
      <c r="A7" s="5"/>
      <c r="B7" s="5"/>
      <c r="C7" s="5"/>
      <c r="D7" s="5"/>
      <c r="E7" s="5"/>
      <c r="F7" s="5"/>
      <c r="G7" s="5"/>
      <c r="H7" s="5"/>
      <c r="I7" s="5"/>
    </row>
    <row r="8" spans="1:9" x14ac:dyDescent="0.3">
      <c r="A8" s="5"/>
      <c r="B8" s="5"/>
      <c r="C8" s="5"/>
      <c r="D8" s="5"/>
      <c r="E8" s="5"/>
      <c r="F8" s="5"/>
      <c r="G8" s="5"/>
      <c r="H8" s="5"/>
      <c r="I8" s="5"/>
    </row>
    <row r="9" spans="1:9" x14ac:dyDescent="0.3">
      <c r="A9" s="5"/>
      <c r="B9" s="5"/>
      <c r="C9" s="5"/>
      <c r="D9" s="5"/>
      <c r="E9" s="5"/>
      <c r="F9" s="5"/>
      <c r="G9" s="5"/>
      <c r="H9" s="5"/>
      <c r="I9" s="5"/>
    </row>
    <row r="10" spans="1:9" x14ac:dyDescent="0.3">
      <c r="A10" s="5"/>
      <c r="B10" s="5"/>
      <c r="C10" s="5"/>
      <c r="D10" s="5"/>
      <c r="E10" s="5"/>
      <c r="F10" s="5"/>
      <c r="G10" s="5"/>
      <c r="H10" s="5"/>
      <c r="I10" s="5"/>
    </row>
    <row r="11" spans="1:9" x14ac:dyDescent="0.3">
      <c r="A11" s="5"/>
      <c r="B11" s="5"/>
      <c r="C11" s="5"/>
      <c r="D11" s="5"/>
      <c r="E11" s="5"/>
      <c r="F11" s="5"/>
      <c r="G11" s="5"/>
      <c r="H11" s="5"/>
      <c r="I11" s="5"/>
    </row>
    <row r="12" spans="1:9" x14ac:dyDescent="0.3">
      <c r="A12" s="5"/>
      <c r="B12" s="5"/>
      <c r="C12" s="5"/>
      <c r="D12" s="5"/>
      <c r="E12" s="5"/>
      <c r="F12" s="5"/>
      <c r="G12" s="5"/>
      <c r="H12" s="5"/>
      <c r="I12" s="5"/>
    </row>
    <row r="13" spans="1:9" x14ac:dyDescent="0.3">
      <c r="A13" s="5"/>
      <c r="B13" s="5"/>
      <c r="C13" s="5"/>
      <c r="D13" s="5"/>
      <c r="E13" s="5"/>
      <c r="F13" s="5"/>
      <c r="G13" s="5"/>
      <c r="H13" s="5"/>
      <c r="I13" s="5"/>
    </row>
    <row r="14" spans="1:9" x14ac:dyDescent="0.3">
      <c r="A14" s="5"/>
      <c r="B14" s="5"/>
      <c r="C14" s="5"/>
      <c r="D14" s="5"/>
      <c r="E14" s="5"/>
      <c r="F14" s="5"/>
      <c r="G14" s="5"/>
      <c r="H14" s="5"/>
      <c r="I14" s="5"/>
    </row>
    <row r="15" spans="1:9" x14ac:dyDescent="0.3">
      <c r="A15" s="14" t="s">
        <v>41</v>
      </c>
      <c r="B15" s="5"/>
      <c r="C15" s="5"/>
      <c r="D15" s="5"/>
      <c r="E15" s="5"/>
      <c r="F15" s="5"/>
      <c r="G15" s="5"/>
      <c r="H15" s="5"/>
      <c r="I15"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E2C9EB0-98EA-4D60-A7D0-A91C24717237}">
  <ds:schemaRefs>
    <ds:schemaRef ds:uri="http://schemas.microsoft.com/DataMashup"/>
  </ds:schemaRefs>
</ds:datastoreItem>
</file>

<file path=customXml/itemProps2.xml><?xml version="1.0" encoding="utf-8"?>
<ds:datastoreItem xmlns:ds="http://schemas.openxmlformats.org/officeDocument/2006/customXml" ds:itemID="{13EDCA96-AA92-4C75-A0F6-CE2939763E4A}">
  <ds:schemaRefs/>
</ds:datastoreItem>
</file>

<file path=customXml/itemProps3.xml><?xml version="1.0" encoding="utf-8"?>
<ds:datastoreItem xmlns:ds="http://schemas.openxmlformats.org/officeDocument/2006/customXml" ds:itemID="{916E3A51-2899-4FB6-90AE-01B4C47828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Mithlesh Yadav</dc:creator>
  <cp:lastModifiedBy>Mithlesh Yadav</cp:lastModifiedBy>
  <dcterms:created xsi:type="dcterms:W3CDTF">2026-02-20T03:33:07Z</dcterms:created>
  <dcterms:modified xsi:type="dcterms:W3CDTF">2026-02-20T14:46:45Z</dcterms:modified>
</cp:coreProperties>
</file>